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サマリー" sheetId="1" state="visible" r:id="rId1"/>
    <sheet name="テストケース一覧" sheetId="2" state="visible" r:id="rId2"/>
    <sheet name="ステージング（2026-10）" sheetId="3" state="visible" r:id="rId3"/>
    <sheet name="事前準備" sheetId="4" state="visible" r:id="rId4"/>
    <sheet name="Stripeテストカード" sheetId="5" state="visible" r:id="rId5"/>
  </sheets>
  <definedNames>
    <definedName name="_xlnm._FilterDatabase" localSheetId="1" hidden="1">'テストケース一覧'!$A$1:$L$40</definedName>
    <definedName name="_xlnm._FilterDatabase" localSheetId="2" hidden="1">'ステージング（2026-10）'!$A$1:$M$43</definedName>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Arial"/>
      <b val="1"/>
      <color rgb="FF1F3864"/>
      <sz val="16"/>
    </font>
    <font>
      <name val="Arial"/>
      <i val="1"/>
      <color rgb="FF595959"/>
      <sz val="10"/>
    </font>
    <font>
      <name val="Arial"/>
      <b val="1"/>
      <color rgb="FFFFFFFF"/>
      <sz val="10"/>
    </font>
    <font>
      <name val="Arial"/>
      <b val="1"/>
      <color theme="1"/>
      <sz val="10"/>
    </font>
    <font>
      <name val="Arial"/>
      <color theme="1"/>
      <sz val="10"/>
    </font>
    <font>
      <name val="Arial"/>
      <b val="1"/>
      <color rgb="FF1F3864"/>
      <sz val="11"/>
    </font>
  </fonts>
  <fills count="5">
    <fill>
      <patternFill/>
    </fill>
    <fill>
      <patternFill patternType="lightGray"/>
    </fill>
    <fill>
      <patternFill patternType="solid">
        <fgColor rgb="FF305496"/>
        <bgColor rgb="FF305496"/>
      </patternFill>
    </fill>
    <fill>
      <patternFill patternType="solid">
        <fgColor rgb="FFD9E1F2"/>
        <bgColor rgb="FFD9E1F2"/>
      </patternFill>
    </fill>
    <fill>
      <patternFill patternType="solid">
        <fgColor rgb="FFF7F9FC"/>
        <bgColor rgb="FFF7F9FC"/>
      </patternFill>
    </fill>
  </fills>
  <borders count="3">
    <border/>
    <border>
      <left style="thin">
        <color rgb="FFB7B7B7"/>
      </left>
      <right style="thin">
        <color rgb="FFB7B7B7"/>
      </right>
      <top style="thin">
        <color rgb="FFB7B7B7"/>
      </top>
      <bottom style="thin">
        <color rgb="FFB7B7B7"/>
      </bottom>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5" fillId="0" borderId="1" applyAlignment="1" pivotButton="0" quotePrefix="0" xfId="0">
      <alignment horizontal="left" vertical="top" wrapText="1"/>
    </xf>
    <xf numFmtId="0" fontId="6" fillId="3" borderId="2" pivotButton="0" quotePrefix="0" xfId="0"/>
    <xf numFmtId="0" fontId="5" fillId="0" borderId="0" applyAlignment="1" pivotButton="0" quotePrefix="0" xfId="0">
      <alignment horizontal="left" vertical="top" wrapText="1"/>
    </xf>
    <xf numFmtId="0" fontId="2" fillId="0" borderId="0"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top" wrapText="1"/>
    </xf>
    <xf numFmtId="9" fontId="5"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top" wrapText="1"/>
    </xf>
    <xf numFmtId="0" fontId="5" fillId="0" borderId="1" applyAlignment="1" pivotButton="0" quotePrefix="0" xfId="0">
      <alignment horizontal="left" vertical="top" wrapText="1"/>
    </xf>
    <xf numFmtId="0" fontId="4" fillId="3" borderId="1" pivotButton="0" quotePrefix="0" xfId="0"/>
    <xf numFmtId="9" fontId="4" fillId="3" borderId="1" pivotButton="0" quotePrefix="0" xfId="0"/>
    <xf numFmtId="0" fontId="6" fillId="0" borderId="0" pivotButton="0" quotePrefix="0" xfId="0"/>
    <xf numFmtId="0" fontId="5" fillId="0" borderId="0" pivotButton="0" quotePrefix="0" xfId="0"/>
    <xf numFmtId="0" fontId="0" fillId="0" borderId="0" pivotButton="0" quotePrefix="0" xfId="0"/>
  </cellXfs>
  <cellStyles count="1">
    <cellStyle name="Normal" xfId="0" builtinId="0"/>
  </cellStyles>
  <dxfs count="4">
    <dxf>
      <font>
        <name val="Arial"/>
        <color rgb="FF006100"/>
      </font>
      <fill>
        <patternFill patternType="solid">
          <fgColor rgb="FFC6EFCE"/>
          <bgColor rgb="FFC6EFCE"/>
        </patternFill>
      </fill>
      <border/>
    </dxf>
    <dxf>
      <font>
        <name val="Arial"/>
        <color rgb="FF9C0006"/>
      </font>
      <fill>
        <patternFill patternType="solid">
          <fgColor rgb="FFFFC7CE"/>
          <bgColor rgb="FFFFC7CE"/>
        </patternFill>
      </fill>
      <border/>
    </dxf>
    <dxf>
      <font>
        <name val="Arial"/>
        <color rgb="FF9C6500"/>
      </font>
      <fill>
        <patternFill patternType="solid">
          <fgColor rgb="FFFFEB9C"/>
          <bgColor rgb="FFFFEB9C"/>
        </patternFill>
      </fill>
      <border/>
    </dxf>
    <dxf>
      <font>
        <name val="Arial"/>
        <color rgb="FF808080"/>
      </font>
      <fill>
        <patternFill patternType="solid">
          <fgColor rgb="FFF2F2F2"/>
          <bgColor rgb="FFF2F2F2"/>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2:H32"/>
  <sheetViews>
    <sheetView showGridLines="0" workbookViewId="0">
      <selection activeCell="A1" sqref="A1"/>
    </sheetView>
  </sheetViews>
  <sheetFormatPr baseColWidth="8" defaultColWidth="14.43" defaultRowHeight="15" customHeight="1"/>
  <cols>
    <col width="2" customWidth="1" style="21" min="1" max="1"/>
    <col width="16" customWidth="1" style="21" min="2" max="2"/>
    <col width="42" customWidth="1" style="21" min="3" max="3"/>
    <col width="10" customWidth="1" style="21" min="4" max="8"/>
    <col width="8.710000000000001" customWidth="1" style="21" min="9" max="26"/>
  </cols>
  <sheetData>
    <row r="2">
      <c r="B2" s="1" t="inlineStr">
        <is>
          <t>Stripe決済 手動テスト チェックリスト</t>
        </is>
      </c>
    </row>
    <row r="3">
      <c r="B3" s="2" t="inlineStr">
        <is>
          <t>対象: サインアップ決済 / プラン変更 / 解約 / 再契約 / 台本上限・ロック / アカウント削除の実機テスト</t>
        </is>
      </c>
    </row>
    <row r="6">
      <c r="A6" s="3" t="n"/>
      <c r="B6" s="3" t="inlineStr">
        <is>
          <t>区分</t>
        </is>
      </c>
      <c r="C6" s="3" t="inlineStr">
        <is>
          <t>内容</t>
        </is>
      </c>
      <c r="D6" s="3" t="inlineStr">
        <is>
          <t>件数</t>
        </is>
      </c>
      <c r="E6" s="3" t="inlineStr">
        <is>
          <t>OK</t>
        </is>
      </c>
      <c r="F6" s="3" t="inlineStr">
        <is>
          <t>NG</t>
        </is>
      </c>
      <c r="G6" s="3" t="inlineStr">
        <is>
          <t>未実施</t>
        </is>
      </c>
      <c r="H6" s="4" t="inlineStr">
        <is>
          <t>進捗率</t>
        </is>
      </c>
    </row>
    <row r="7">
      <c r="B7" s="16" t="inlineStr">
        <is>
          <t>SU</t>
        </is>
      </c>
      <c r="C7" s="16" t="inlineStr">
        <is>
          <t>サインアップ・決済（新規登録/planページ経由）</t>
        </is>
      </c>
      <c r="D7" s="10">
        <f>COUNTIF('テストケース一覧'!$B:$B,"SU*")</f>
        <v/>
      </c>
      <c r="E7" s="10">
        <f>COUNTIFS('テストケース一覧'!$B:$B,"SU*",'テストケース一覧'!$J:$J,"OK")</f>
        <v/>
      </c>
      <c r="F7" s="10">
        <f>COUNTIFS('テストケース一覧'!$B:$B,"SU*",'テストケース一覧'!$J:$J,"NG")</f>
        <v/>
      </c>
      <c r="G7" s="10">
        <f>COUNTIFS('テストケース一覧'!$B:$B,"SU*",'テストケース一覧'!$J:$J,"未実施")</f>
        <v/>
      </c>
      <c r="H7" s="13">
        <f>IF(D7=0,0,E7/D7)</f>
        <v/>
      </c>
    </row>
    <row r="8">
      <c r="B8" s="16" t="inlineStr">
        <is>
          <t>CH</t>
        </is>
      </c>
      <c r="C8" s="16" t="inlineStr">
        <is>
          <t>プラン変更（アップグレード・ダウングレード）</t>
        </is>
      </c>
      <c r="D8" s="10">
        <f>COUNTIF('テストケース一覧'!$B:$B,"CH*")</f>
        <v/>
      </c>
      <c r="E8" s="10">
        <f>COUNTIFS('テストケース一覧'!$B:$B,"CH*",'テストケース一覧'!$J:$J,"OK")</f>
        <v/>
      </c>
      <c r="F8" s="10">
        <f>COUNTIFS('テストケース一覧'!$B:$B,"CH*",'テストケース一覧'!$J:$J,"NG")</f>
        <v/>
      </c>
      <c r="G8" s="10">
        <f>COUNTIFS('テストケース一覧'!$B:$B,"CH*",'テストケース一覧'!$J:$J,"未実施")</f>
        <v/>
      </c>
      <c r="H8" s="13">
        <f>IF(D8=0,0,E8/D8)</f>
        <v/>
      </c>
    </row>
    <row r="9">
      <c r="B9" s="16" t="inlineStr">
        <is>
          <t>CN</t>
        </is>
      </c>
      <c r="C9" s="16" t="inlineStr">
        <is>
          <t>プラン解約</t>
        </is>
      </c>
      <c r="D9" s="10">
        <f>COUNTIF('テストケース一覧'!$B:$B,"CN*")</f>
        <v/>
      </c>
      <c r="E9" s="10">
        <f>COUNTIFS('テストケース一覧'!$B:$B,"CN*",'テストケース一覧'!$J:$J,"OK")</f>
        <v/>
      </c>
      <c r="F9" s="10">
        <f>COUNTIFS('テストケース一覧'!$B:$B,"CN*",'テストケース一覧'!$J:$J,"NG")</f>
        <v/>
      </c>
      <c r="G9" s="10">
        <f>COUNTIFS('テストケース一覧'!$B:$B,"CN*",'テストケース一覧'!$J:$J,"未実施")</f>
        <v/>
      </c>
      <c r="H9" s="13">
        <f>IF(D9=0,0,E9/D9)</f>
        <v/>
      </c>
    </row>
    <row r="10">
      <c r="B10" s="16" t="inlineStr">
        <is>
          <t>RE</t>
        </is>
      </c>
      <c r="C10" s="16" t="inlineStr">
        <is>
          <t>プラン再契約</t>
        </is>
      </c>
      <c r="D10" s="10">
        <f>COUNTIF('テストケース一覧'!$B:$B,"RE*")</f>
        <v/>
      </c>
      <c r="E10" s="10">
        <f>COUNTIFS('テストケース一覧'!$B:$B,"RE*",'テストケース一覧'!$J:$J,"OK")</f>
        <v/>
      </c>
      <c r="F10" s="10">
        <f>COUNTIFS('テストケース一覧'!$B:$B,"RE*",'テストケース一覧'!$J:$J,"NG")</f>
        <v/>
      </c>
      <c r="G10" s="10">
        <f>COUNTIFS('テストケース一覧'!$B:$B,"RE*",'テストケース一覧'!$J:$J,"未実施")</f>
        <v/>
      </c>
      <c r="H10" s="13">
        <f>IF(D10=0,0,E10/D10)</f>
        <v/>
      </c>
    </row>
    <row r="11">
      <c r="B11" s="16" t="inlineStr">
        <is>
          <t>DL</t>
        </is>
      </c>
      <c r="C11" s="16" t="inlineStr">
        <is>
          <t>ユーザー削除</t>
        </is>
      </c>
      <c r="D11" s="10">
        <f>COUNTIF('テストケース一覧'!$B:$B,"DL*")</f>
        <v/>
      </c>
      <c r="E11" s="10">
        <f>COUNTIFS('テストケース一覧'!$B:$B,"DL*",'テストケース一覧'!$J:$J,"OK")</f>
        <v/>
      </c>
      <c r="F11" s="10">
        <f>COUNTIFS('テストケース一覧'!$B:$B,"DL*",'テストケース一覧'!$J:$J,"NG")</f>
        <v/>
      </c>
      <c r="G11" s="10">
        <f>COUNTIFS('テストケース一覧'!$B:$B,"DL*",'テストケース一覧'!$J:$J,"未実施")</f>
        <v/>
      </c>
      <c r="H11" s="13">
        <f>IF(D11=0,0,E11/D11)</f>
        <v/>
      </c>
    </row>
    <row r="12">
      <c r="B12" s="16" t="inlineStr">
        <is>
          <t>LK</t>
        </is>
      </c>
      <c r="C12" s="16" t="inlineStr">
        <is>
          <t>台本上限・ロック（ダウングレード後の上限超過台本）</t>
        </is>
      </c>
      <c r="D12" s="10">
        <f>COUNTIF('テストケース一覧'!$B:$B,"LK*")</f>
        <v/>
      </c>
      <c r="E12" s="10">
        <f>COUNTIFS('テストケース一覧'!$B:$B,"LK*",'テストケース一覧'!$J:$J,"OK")</f>
        <v/>
      </c>
      <c r="F12" s="10">
        <f>COUNTIFS('テストケース一覧'!$B:$B,"LK*",'テストケース一覧'!$J:$J,"NG")</f>
        <v/>
      </c>
      <c r="G12" s="10">
        <f>COUNTIFS('テストケース一覧'!$B:$B,"LK*",'テストケース一覧'!$J:$J,"未実施")</f>
        <v/>
      </c>
      <c r="H12" s="13">
        <f>IF(D12=0,0,E12/D12)</f>
        <v/>
      </c>
    </row>
    <row r="13">
      <c r="B13" s="16" t="inlineStr">
        <is>
          <t>WH</t>
        </is>
      </c>
      <c r="C13" s="16" t="inlineStr">
        <is>
          <t>Webhook・データ整合性の確認</t>
        </is>
      </c>
      <c r="D13" s="10">
        <f>COUNTIF('テストケース一覧'!$B:$B,"WH*")</f>
        <v/>
      </c>
      <c r="E13" s="10">
        <f>COUNTIFS('テストケース一覧'!$B:$B,"WH*",'テストケース一覧'!$J:$J,"OK")</f>
        <v/>
      </c>
      <c r="F13" s="10">
        <f>COUNTIFS('テストケース一覧'!$B:$B,"WH*",'テストケース一覧'!$J:$J,"NG")</f>
        <v/>
      </c>
      <c r="G13" s="10">
        <f>COUNTIFS('テストケース一覧'!$B:$B,"WH*",'テストケース一覧'!$J:$J,"未実施")</f>
        <v/>
      </c>
      <c r="H13" s="13">
        <f>IF(D13=0,0,E13/D13)</f>
        <v/>
      </c>
    </row>
    <row r="14">
      <c r="B14" s="17" t="inlineStr">
        <is>
          <t>合計</t>
        </is>
      </c>
      <c r="C14" s="17" t="n"/>
      <c r="D14" s="17">
        <f>SUM(D7:D13)</f>
        <v/>
      </c>
      <c r="E14" s="17">
        <f>SUM(E7:E13)</f>
        <v/>
      </c>
      <c r="F14" s="17">
        <f>SUM(F7:F13)</f>
        <v/>
      </c>
      <c r="G14" s="17">
        <f>SUM(G7:G13)</f>
        <v/>
      </c>
      <c r="H14" s="18">
        <f>IF(D14=0,0,E14/D14)</f>
        <v/>
      </c>
    </row>
    <row r="15">
      <c r="B15" s="2" t="inlineStr">
        <is>
          <t>※「テストケース一覧」シートの「実施結果」列(J列)を更新すると、この表は自動集計されます。</t>
        </is>
      </c>
    </row>
    <row r="17">
      <c r="B17" s="19" t="inlineStr">
        <is>
          <t>シート構成</t>
        </is>
      </c>
    </row>
    <row r="18">
      <c r="B18" s="4" t="inlineStr">
        <is>
          <t>・テストケース一覧</t>
        </is>
      </c>
      <c r="C18" s="20" t="inlineStr">
        <is>
          <t>全テストケース本体（手順・期待結果・実施結果を記入）</t>
        </is>
      </c>
    </row>
    <row r="19">
      <c r="B19" s="4" t="inlineStr">
        <is>
          <t>・事前準備</t>
        </is>
      </c>
      <c r="C19" s="20" t="inlineStr">
        <is>
          <t>テスト環境・Stripe CLI・Webhook確認方法のセットアップ手順</t>
        </is>
      </c>
    </row>
    <row r="20">
      <c r="B20" s="4" t="inlineStr">
        <is>
          <t>・Stripeテストカード</t>
        </is>
      </c>
      <c r="C20" s="20" t="inlineStr">
        <is>
          <t>決済テストに使用するカード番号一覧</t>
        </is>
      </c>
    </row>
    <row r="21" ht="15.75" customHeight="1" s="21">
      <c r="B21" s="4" t="inlineStr">
        <is>
          <t>・ステージング（2026-10）</t>
        </is>
      </c>
      <c r="C21" s="20" t="inlineStr">
        <is>
          <t>リリース前の再テスト用。ステージング環境（devブランチ）で実施。疑似障害の5件はローカルで実施（M列「実施環境」）</t>
        </is>
      </c>
    </row>
    <row r="22" ht="15.75" customHeight="1" s="21"/>
    <row r="23" ht="15.75" customHeight="1" s="21">
      <c r="B23" s="19" t="inlineStr">
        <is>
          <t>ステージング実施分（シート「ステージング（2026-10）」）</t>
        </is>
      </c>
    </row>
    <row r="24" ht="15.75" customHeight="1" s="21">
      <c r="A24" s="3" t="n"/>
      <c r="B24" s="3" t="inlineStr">
        <is>
          <t>区分</t>
        </is>
      </c>
      <c r="C24" s="3" t="inlineStr">
        <is>
          <t>内容</t>
        </is>
      </c>
      <c r="D24" s="3" t="inlineStr">
        <is>
          <t>件数</t>
        </is>
      </c>
      <c r="E24" s="3" t="inlineStr">
        <is>
          <t>OK</t>
        </is>
      </c>
      <c r="F24" s="3" t="inlineStr">
        <is>
          <t>NG</t>
        </is>
      </c>
      <c r="G24" s="3" t="inlineStr">
        <is>
          <t>未実施</t>
        </is>
      </c>
      <c r="H24" s="4" t="inlineStr">
        <is>
          <t>進捗率</t>
        </is>
      </c>
    </row>
    <row r="25" ht="15.75" customHeight="1" s="21">
      <c r="B25" s="16" t="inlineStr">
        <is>
          <t>SU</t>
        </is>
      </c>
      <c r="C25" s="16" t="inlineStr">
        <is>
          <t>サインアップ・決済（新規登録/planページ経由）</t>
        </is>
      </c>
      <c r="D25" s="10">
        <f>COUNTIF('ステージング（2026-10）'!$B:$B,"SU*")</f>
        <v/>
      </c>
      <c r="E25" s="10">
        <f>COUNTIFS('ステージング（2026-10）'!$B:$B,"SU*",'ステージング（2026-10）'!$J:$J,"OK")</f>
        <v/>
      </c>
      <c r="F25" s="10">
        <f>COUNTIFS('ステージング（2026-10）'!$B:$B,"SU*",'ステージング（2026-10）'!$J:$J,"NG")</f>
        <v/>
      </c>
      <c r="G25" s="10">
        <f>COUNTIFS('ステージング（2026-10）'!$B:$B,"SU*",'ステージング（2026-10）'!$J:$J,"未実施")</f>
        <v/>
      </c>
      <c r="H25" s="13">
        <f>IF(D25=0,0,E25/D25)</f>
        <v/>
      </c>
    </row>
    <row r="26" ht="15.75" customHeight="1" s="21">
      <c r="B26" s="16" t="inlineStr">
        <is>
          <t>CH</t>
        </is>
      </c>
      <c r="C26" s="16" t="inlineStr">
        <is>
          <t>プラン変更（アップグレード・ダウングレード）</t>
        </is>
      </c>
      <c r="D26" s="10">
        <f>COUNTIF('ステージング（2026-10）'!$B:$B,"CH*")</f>
        <v/>
      </c>
      <c r="E26" s="10">
        <f>COUNTIFS('ステージング（2026-10）'!$B:$B,"CH*",'ステージング（2026-10）'!$J:$J,"OK")</f>
        <v/>
      </c>
      <c r="F26" s="10">
        <f>COUNTIFS('ステージング（2026-10）'!$B:$B,"CH*",'ステージング（2026-10）'!$J:$J,"NG")</f>
        <v/>
      </c>
      <c r="G26" s="10">
        <f>COUNTIFS('ステージング（2026-10）'!$B:$B,"CH*",'ステージング（2026-10）'!$J:$J,"未実施")</f>
        <v/>
      </c>
      <c r="H26" s="13">
        <f>IF(D26=0,0,E26/D26)</f>
        <v/>
      </c>
    </row>
    <row r="27" ht="15.75" customHeight="1" s="21">
      <c r="B27" s="16" t="inlineStr">
        <is>
          <t>CN</t>
        </is>
      </c>
      <c r="C27" s="16" t="inlineStr">
        <is>
          <t>プラン解約</t>
        </is>
      </c>
      <c r="D27" s="10">
        <f>COUNTIF('ステージング（2026-10）'!$B:$B,"CN*")</f>
        <v/>
      </c>
      <c r="E27" s="10">
        <f>COUNTIFS('ステージング（2026-10）'!$B:$B,"CN*",'ステージング（2026-10）'!$J:$J,"OK")</f>
        <v/>
      </c>
      <c r="F27" s="10">
        <f>COUNTIFS('ステージング（2026-10）'!$B:$B,"CN*",'ステージング（2026-10）'!$J:$J,"NG")</f>
        <v/>
      </c>
      <c r="G27" s="10">
        <f>COUNTIFS('ステージング（2026-10）'!$B:$B,"CN*",'ステージング（2026-10）'!$J:$J,"未実施")</f>
        <v/>
      </c>
      <c r="H27" s="13">
        <f>IF(D27=0,0,E27/D27)</f>
        <v/>
      </c>
    </row>
    <row r="28" ht="15.75" customHeight="1" s="21">
      <c r="B28" s="16" t="inlineStr">
        <is>
          <t>RE</t>
        </is>
      </c>
      <c r="C28" s="16" t="inlineStr">
        <is>
          <t>プラン再契約</t>
        </is>
      </c>
      <c r="D28" s="10">
        <f>COUNTIF('ステージング（2026-10）'!$B:$B,"RE*")</f>
        <v/>
      </c>
      <c r="E28" s="10">
        <f>COUNTIFS('ステージング（2026-10）'!$B:$B,"RE*",'ステージング（2026-10）'!$J:$J,"OK")</f>
        <v/>
      </c>
      <c r="F28" s="10">
        <f>COUNTIFS('ステージング（2026-10）'!$B:$B,"RE*",'ステージング（2026-10）'!$J:$J,"NG")</f>
        <v/>
      </c>
      <c r="G28" s="10">
        <f>COUNTIFS('ステージング（2026-10）'!$B:$B,"RE*",'ステージング（2026-10）'!$J:$J,"未実施")</f>
        <v/>
      </c>
      <c r="H28" s="13">
        <f>IF(D28=0,0,E28/D28)</f>
        <v/>
      </c>
    </row>
    <row r="29" ht="15.75" customHeight="1" s="21">
      <c r="B29" s="16" t="inlineStr">
        <is>
          <t>DL</t>
        </is>
      </c>
      <c r="C29" s="16" t="inlineStr">
        <is>
          <t>ユーザー削除</t>
        </is>
      </c>
      <c r="D29" s="10">
        <f>COUNTIF('ステージング（2026-10）'!$B:$B,"DL*")</f>
        <v/>
      </c>
      <c r="E29" s="10">
        <f>COUNTIFS('ステージング（2026-10）'!$B:$B,"DL*",'ステージング（2026-10）'!$J:$J,"OK")</f>
        <v/>
      </c>
      <c r="F29" s="10">
        <f>COUNTIFS('ステージング（2026-10）'!$B:$B,"DL*",'ステージング（2026-10）'!$J:$J,"NG")</f>
        <v/>
      </c>
      <c r="G29" s="10">
        <f>COUNTIFS('ステージング（2026-10）'!$B:$B,"DL*",'ステージング（2026-10）'!$J:$J,"未実施")</f>
        <v/>
      </c>
      <c r="H29" s="13">
        <f>IF(D29=0,0,E29/D29)</f>
        <v/>
      </c>
    </row>
    <row r="30" ht="15.75" customHeight="1" s="21">
      <c r="B30" s="16" t="inlineStr">
        <is>
          <t>LK</t>
        </is>
      </c>
      <c r="C30" s="16" t="inlineStr">
        <is>
          <t>台本上限・ロック（ダウングレード後の上限超過台本）</t>
        </is>
      </c>
      <c r="D30" s="10">
        <f>COUNTIF('ステージング（2026-10）'!$B:$B,"LK*")</f>
        <v/>
      </c>
      <c r="E30" s="10">
        <f>COUNTIFS('ステージング（2026-10）'!$B:$B,"LK*",'ステージング（2026-10）'!$J:$J,"OK")</f>
        <v/>
      </c>
      <c r="F30" s="10">
        <f>COUNTIFS('ステージング（2026-10）'!$B:$B,"LK*",'ステージング（2026-10）'!$J:$J,"NG")</f>
        <v/>
      </c>
      <c r="G30" s="10">
        <f>COUNTIFS('ステージング（2026-10）'!$B:$B,"LK*",'ステージング（2026-10）'!$J:$J,"未実施")</f>
        <v/>
      </c>
      <c r="H30" s="13">
        <f>IF(D30=0,0,E30/D30)</f>
        <v/>
      </c>
    </row>
    <row r="31" ht="15.75" customHeight="1" s="21">
      <c r="B31" s="16" t="inlineStr">
        <is>
          <t>WH</t>
        </is>
      </c>
      <c r="C31" s="16" t="inlineStr">
        <is>
          <t>Webhook・データ整合性の確認</t>
        </is>
      </c>
      <c r="D31" s="10">
        <f>COUNTIF('ステージング（2026-10）'!$B:$B,"WH*")</f>
        <v/>
      </c>
      <c r="E31" s="10">
        <f>COUNTIFS('ステージング（2026-10）'!$B:$B,"WH*",'ステージング（2026-10）'!$J:$J,"OK")</f>
        <v/>
      </c>
      <c r="F31" s="10">
        <f>COUNTIFS('ステージング（2026-10）'!$B:$B,"WH*",'ステージング（2026-10）'!$J:$J,"NG")</f>
        <v/>
      </c>
      <c r="G31" s="10">
        <f>COUNTIFS('ステージング（2026-10）'!$B:$B,"WH*",'ステージング（2026-10）'!$J:$J,"未実施")</f>
        <v/>
      </c>
      <c r="H31" s="13">
        <f>IF(D31=0,0,E31/D31)</f>
        <v/>
      </c>
    </row>
    <row r="32" ht="15.75" customHeight="1" s="21">
      <c r="B32" s="17" t="inlineStr">
        <is>
          <t>合計</t>
        </is>
      </c>
      <c r="C32" s="17" t="n"/>
      <c r="D32" s="17">
        <f>SUM(D25:D31)</f>
        <v/>
      </c>
      <c r="E32" s="17">
        <f>SUM(E25:E31)</f>
        <v/>
      </c>
      <c r="F32" s="17">
        <f>SUM(F25:F31)</f>
        <v/>
      </c>
      <c r="G32" s="17">
        <f>SUM(G25:G31)</f>
        <v/>
      </c>
      <c r="H32" s="18">
        <f>IF(D32=0,0,E32/D32)</f>
        <v/>
      </c>
    </row>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9">
    <mergeCell ref="C19:H19"/>
    <mergeCell ref="B17:H17"/>
    <mergeCell ref="B2:H2"/>
    <mergeCell ref="C18:H18"/>
    <mergeCell ref="B15:H15"/>
    <mergeCell ref="C20:H20"/>
    <mergeCell ref="B3:H3"/>
    <mergeCell ref="C21:H21"/>
    <mergeCell ref="B23:H23"/>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L40"/>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21" min="1" max="1"/>
    <col width="9" customWidth="1" style="21" min="2" max="2"/>
    <col width="12" customWidth="1" style="21" min="3" max="3"/>
    <col width="26" customWidth="1" style="21" min="4" max="4"/>
    <col width="40" customWidth="1" style="21" min="5" max="5"/>
    <col width="34" customWidth="1" style="21" min="6" max="7"/>
    <col width="30" customWidth="1" style="21" min="8" max="8"/>
    <col width="24" customWidth="1" style="21" min="9" max="9"/>
    <col width="11" customWidth="1" style="21" min="10" max="10"/>
    <col width="12" customWidth="1" style="21" min="11" max="11"/>
    <col width="26" customWidth="1" style="21" min="12" max="12"/>
    <col width="8.710000000000001" customWidth="1" style="21" min="13" max="26"/>
  </cols>
  <sheetData>
    <row r="1" ht="30" customHeight="1" s="21">
      <c r="A1" s="3" t="inlineStr">
        <is>
          <t>No</t>
        </is>
      </c>
      <c r="B1" s="3" t="inlineStr">
        <is>
          <t>テストID</t>
        </is>
      </c>
      <c r="C1" s="3" t="inlineStr">
        <is>
          <t>大分類</t>
        </is>
      </c>
      <c r="D1" s="3" t="inlineStr">
        <is>
          <t>前提条件</t>
        </is>
      </c>
      <c r="E1" s="3" t="inlineStr">
        <is>
          <t>テスト手順</t>
        </is>
      </c>
      <c r="F1" s="3" t="inlineStr">
        <is>
          <t>期待結果（画面表示）</t>
        </is>
      </c>
      <c r="G1" s="3" t="inlineStr">
        <is>
          <t>期待結果（DB: profile/subscription）</t>
        </is>
      </c>
      <c r="H1" s="3" t="inlineStr">
        <is>
          <t>期待結果（Stripe側）</t>
        </is>
      </c>
      <c r="I1" s="3" t="inlineStr">
        <is>
          <t>使用テストカード/備考</t>
        </is>
      </c>
      <c r="J1" s="3" t="inlineStr">
        <is>
          <t>実施結果</t>
        </is>
      </c>
      <c r="K1" s="3" t="inlineStr">
        <is>
          <t>実施日</t>
        </is>
      </c>
      <c r="L1" s="3" t="inlineStr">
        <is>
          <t>気づき・不具合メモ</t>
        </is>
      </c>
    </row>
    <row r="2" ht="90" customHeight="1" s="21">
      <c r="A2" s="10" t="n">
        <v>1</v>
      </c>
      <c r="B2" s="16" t="inlineStr">
        <is>
          <t>SU-01</t>
        </is>
      </c>
      <c r="C2" s="16" t="inlineStr">
        <is>
          <t>SU: サインアップ・決済</t>
        </is>
      </c>
      <c r="D2" s="16" t="inlineStr">
        <is>
          <t>未登録のメールアドレスを準備する。/plan または /sign-up にアクセスできる状態。</t>
        </is>
      </c>
      <c r="E2" s="16" t="inlineStr">
        <is>
          <t>1. /plan の無料プランで「無料で始める」を押す（または直接 /sign-up）
2. メールアドレス・パスワードを入力し「新規登録」を送信</t>
        </is>
      </c>
      <c r="F2" s="16" t="inlineStr">
        <is>
          <t>エラーなく /protected へ遷移する</t>
        </is>
      </c>
      <c r="G2" s="16" t="inlineStr">
        <is>
          <t>・auth.usersにユーザーが作成される
・profileにstripe_uuid/supabase_uuid/emailが登録される
・subscriptionにplan_id=フリー, price_id=null, status='active', stripe_subscription_id=nullで1行作成される</t>
        </is>
      </c>
      <c r="H2" s="16" t="inlineStr">
        <is>
          <t>Stripeに顧客(customer)が作成される（サブスクリプションは作成されない）</t>
        </is>
      </c>
      <c r="I2" s="16" t="inlineStr">
        <is>
          <t>カード入力なし</t>
        </is>
      </c>
      <c r="J2" s="10" t="inlineStr">
        <is>
          <t>OK</t>
        </is>
      </c>
      <c r="K2" s="10" t="n"/>
      <c r="L2" s="16" t="n"/>
    </row>
    <row r="3" ht="90" customHeight="1" s="21">
      <c r="A3" s="14" t="n">
        <v>2</v>
      </c>
      <c r="B3" s="15" t="inlineStr">
        <is>
          <t>SU-02</t>
        </is>
      </c>
      <c r="C3" s="15" t="inlineStr">
        <is>
          <t>SU: サインアップ・決済</t>
        </is>
      </c>
      <c r="D3" s="15" t="inlineStr">
        <is>
          <t>未ログイン状態。有料プランがStripeテストモードのPrice IDと紐づいて登録済みであること。</t>
        </is>
      </c>
      <c r="E3" s="15" t="inlineStr">
        <is>
          <t>1. /plan にアクセス（未ログイン）
2. 任意の有料プランの「今すぐ始める」を押す
3. /sign-up へ遷移することを確認し、メール・パスワードを入力して送信
4. Stripe Checkoutページでカード情報を入力し決済</t>
        </is>
      </c>
      <c r="F3" s="15" t="inlineStr">
        <is>
          <t>決済完了後、success_url（/protected?session_id=...）へリダイレクトされる。mypageのプラン表示が選択した有料プラン名になっている</t>
        </is>
      </c>
      <c r="G3" s="15" t="inlineStr">
        <is>
          <t>・profile/subscription（フリー分）がまず作成される
・決済完了後、customer.subscription.created Webhookにより subscription 行が update され、plan_id=選択プラン, price_id, stripe_subscription_id, status='active', current_period_end, cancel_at_period_end=false になる</t>
        </is>
      </c>
      <c r="H3" s="15" t="inlineStr">
        <is>
          <t>Checkoutセッション完了、Subscriptionオブジェクトがactiveで作成される。metadata.user_idが正しく設定されていることを確認</t>
        </is>
      </c>
      <c r="I3" s="15" t="inlineStr">
        <is>
          <t>4242 4242 4242 4242（成功）／これが「planページからユーザー登録&amp;決済」の本流フロー</t>
        </is>
      </c>
      <c r="J3" s="14" t="inlineStr">
        <is>
          <t>OK</t>
        </is>
      </c>
      <c r="K3" s="14" t="n"/>
      <c r="L3" s="15" t="n"/>
    </row>
    <row r="4" ht="90" customHeight="1" s="21">
      <c r="A4" s="10" t="n">
        <v>3</v>
      </c>
      <c r="B4" s="16" t="inlineStr">
        <is>
          <t>SU-03</t>
        </is>
      </c>
      <c r="C4" s="16" t="inlineStr">
        <is>
          <t>SU: サインアップ・決済</t>
        </is>
      </c>
      <c r="D4" s="16" t="inlineStr">
        <is>
          <t>SU-02と同じ手順の直前まで進める</t>
        </is>
      </c>
      <c r="E4" s="16" t="inlineStr">
        <is>
          <t>Checkoutページで拒否カードを入力して決済を試みる</t>
        </is>
      </c>
      <c r="F4" s="16" t="inlineStr">
        <is>
          <t>Stripe Checkout画面上にカードエラーが表示され、決済が完了しない。ユーザーはCheckout画面に留まる</t>
        </is>
      </c>
      <c r="G4" s="16" t="inlineStr">
        <is>
          <t>subscription行はフリープランのまま更新されない（Webhookが発火しないため）</t>
        </is>
      </c>
      <c r="H4" s="16" t="inlineStr">
        <is>
          <t>PaymentIntent/Charge が失敗する。Subscriptionは作成されない</t>
        </is>
      </c>
      <c r="I4" s="16" t="inlineStr">
        <is>
          <t>4000 0000 0000 0002（決済拒否）</t>
        </is>
      </c>
      <c r="J4" s="10" t="inlineStr">
        <is>
          <t>OK</t>
        </is>
      </c>
      <c r="K4" s="10" t="n"/>
      <c r="L4" s="16" t="n"/>
    </row>
    <row r="5" ht="90" customHeight="1" s="21">
      <c r="A5" s="14" t="n">
        <v>4</v>
      </c>
      <c r="B5" s="15" t="inlineStr">
        <is>
          <t>SU-04</t>
        </is>
      </c>
      <c r="C5" s="15" t="inlineStr">
        <is>
          <t>SU: サインアップ・決済</t>
        </is>
      </c>
      <c r="D5" s="15" t="inlineStr">
        <is>
          <t>SU-02と同じ手順の直前まで進める</t>
        </is>
      </c>
      <c r="E5" s="15" t="inlineStr">
        <is>
          <t>Checkoutページで3Dセキュア認証が必要なカードを入力し、認証画面で認証を完了する</t>
        </is>
      </c>
      <c r="F5" s="15" t="inlineStr">
        <is>
          <t>追加認証（3DS）画面が表示され、認証完了後に決済が成功し /protected へ遷移する</t>
        </is>
      </c>
      <c r="G5" s="15" t="inlineStr">
        <is>
          <t>customer.subscription.created Webhookにより subscription行が正しく更新される</t>
        </is>
      </c>
      <c r="H5" s="15" t="inlineStr">
        <is>
          <t>SubscriptionがactiveでStripe上に作成される</t>
        </is>
      </c>
      <c r="I5" s="15" t="inlineStr">
        <is>
          <t>4000 0025 0000 3155（要3Dセキュア）</t>
        </is>
      </c>
      <c r="J5" s="14" t="inlineStr">
        <is>
          <t>OK</t>
        </is>
      </c>
      <c r="K5" s="14" t="n"/>
      <c r="L5" s="15" t="n"/>
    </row>
    <row r="6" ht="90" customHeight="1" s="21">
      <c r="A6" s="10" t="n">
        <v>5</v>
      </c>
      <c r="B6" s="16" t="inlineStr">
        <is>
          <t>SU-05</t>
        </is>
      </c>
      <c r="C6" s="16" t="inlineStr">
        <is>
          <t>SU: サインアップ・決済</t>
        </is>
      </c>
      <c r="D6" s="16" t="inlineStr">
        <is>
          <t>SU-02と同じ手順の直前まで進める</t>
        </is>
      </c>
      <c r="E6" s="16" t="inlineStr">
        <is>
          <t>Checkoutページでブラウザバック、または「戻る」リンクで決済をキャンセルする</t>
        </is>
      </c>
      <c r="F6" s="16" t="inlineStr">
        <is>
          <t>cancel_urlである /plan へリダイレクトされる。エラー表示は出ない</t>
        </is>
      </c>
      <c r="G6" s="16" t="inlineStr">
        <is>
          <t>ユーザー・profile・subscription（フリー分）は作成済みのまま。有料プランへは更新されない</t>
        </is>
      </c>
      <c r="H6" s="16" t="inlineStr">
        <is>
          <t>Checkoutセッションはexpired/未完了のまま。Subscriptionは作成されない</t>
        </is>
      </c>
      <c r="I6" s="16" t="inlineStr">
        <is>
          <t>-</t>
        </is>
      </c>
      <c r="J6" s="10" t="inlineStr">
        <is>
          <t>OK</t>
        </is>
      </c>
      <c r="K6" s="10" t="n"/>
      <c r="L6" s="16" t="n"/>
    </row>
    <row r="7" ht="90" customHeight="1" s="21">
      <c r="A7" s="14" t="n">
        <v>6</v>
      </c>
      <c r="B7" s="15" t="inlineStr">
        <is>
          <t>SU-06</t>
        </is>
      </c>
      <c r="C7" s="15" t="inlineStr">
        <is>
          <t>SU: サインアップ・決済</t>
        </is>
      </c>
      <c r="D7" s="15" t="inlineStr">
        <is>
          <t>既に登録済みのメールアドレスを用意する</t>
        </is>
      </c>
      <c r="E7" s="15" t="inlineStr">
        <is>
          <t>そのメールアドレスで /sign-up から新規登録を試みる</t>
        </is>
      </c>
      <c r="F7" s="15" t="inlineStr">
        <is>
          <t>「ユーザーはすでに存在しています。」がエラーメッセージとして表示される</t>
        </is>
      </c>
      <c r="G7" s="15" t="inlineStr">
        <is>
          <t>新しいuser/profile/subscriptionは作成されない</t>
        </is>
      </c>
      <c r="H7" s="15" t="inlineStr">
        <is>
          <t>新しいStripe顧客は作成されない</t>
        </is>
      </c>
      <c r="I7" s="15" t="inlineStr">
        <is>
          <t>-</t>
        </is>
      </c>
      <c r="J7" s="14" t="inlineStr">
        <is>
          <t>OK</t>
        </is>
      </c>
      <c r="K7" s="14" t="n"/>
      <c r="L7" s="15" t="n"/>
    </row>
    <row r="8" ht="90" customHeight="1" s="21">
      <c r="A8" s="10" t="n">
        <v>7</v>
      </c>
      <c r="B8" s="16" t="inlineStr">
        <is>
          <t>SU-07</t>
        </is>
      </c>
      <c r="C8" s="16" t="inlineStr">
        <is>
          <t>SU: サインアップ・決済</t>
        </is>
      </c>
      <c r="D8" s="16" t="inlineStr">
        <is>
          <t>-</t>
        </is>
      </c>
      <c r="E8" s="16" t="inlineStr">
        <is>
          <t>メールアドレスまたはパスワードを空欄のまま新規登録を送信する（フロントのバリデーションを回避できる場合も想定）</t>
        </is>
      </c>
      <c r="F8" s="16" t="inlineStr">
        <is>
          <t>「メールアドレスとパスワードを入力してください。」等のエラーが表示される</t>
        </is>
      </c>
      <c r="G8" s="16" t="inlineStr">
        <is>
          <t>何も作成されない</t>
        </is>
      </c>
      <c r="H8" s="16" t="inlineStr">
        <is>
          <t>何も作成されない</t>
        </is>
      </c>
      <c r="I8" s="16" t="inlineStr">
        <is>
          <t>フォームのZodバリデーションと合わせて確認</t>
        </is>
      </c>
      <c r="J8" s="10" t="inlineStr">
        <is>
          <t>OK</t>
        </is>
      </c>
      <c r="K8" s="10" t="n"/>
      <c r="L8" s="16" t="n"/>
    </row>
    <row r="9" ht="90" customHeight="1" s="21">
      <c r="A9" s="14" t="n">
        <v>8</v>
      </c>
      <c r="B9" s="15" t="inlineStr">
        <is>
          <t>SU-08</t>
        </is>
      </c>
      <c r="C9" s="15" t="inlineStr">
        <is>
          <t>SU: サインアップ・決済</t>
        </is>
      </c>
      <c r="D9" s="15" t="inlineStr">
        <is>
          <t>SU-01で作成したフリープランユーザーでログイン済み（＝「ユーザ作成後に決済」のケース）</t>
        </is>
      </c>
      <c r="E9" s="15" t="inlineStr">
        <is>
          <t>1. ログイン状態で /plan（もしくはmypageの「プランを変更する」を経由せず直接）へアクセス
2. 有料プランの「このプランに変更する」を押す
3. Checkoutで決済を完了する</t>
        </is>
      </c>
      <c r="F9" s="15" t="inlineStr">
        <is>
          <t>決済完了後 /protected へ遷移。mypageの現在のプランが有料プラン名に変わっている</t>
        </is>
      </c>
      <c r="G9" s="15" t="inlineStr">
        <is>
          <t>既存のsubscription行（フリー分）がcustomer.subscription.created Webhookにより有料プラン情報でupdateされる（stripe_customer_idは既存のまま流用）</t>
        </is>
      </c>
      <c r="H9" s="15" t="inlineStr">
        <is>
          <t>既存のcustomerに対してSubscriptionが新規作成される</t>
        </is>
      </c>
      <c r="I9" s="15" t="inlineStr">
        <is>
          <t>4242 4242 4242 4242</t>
        </is>
      </c>
      <c r="J9" s="14" t="inlineStr">
        <is>
          <t>OK</t>
        </is>
      </c>
      <c r="K9" s="14" t="n"/>
      <c r="L9" s="15" t="n"/>
    </row>
    <row r="10" ht="90" customHeight="1" s="21">
      <c r="A10" s="10" t="n">
        <v>9</v>
      </c>
      <c r="B10" s="16" t="inlineStr">
        <is>
          <t>SU-09</t>
        </is>
      </c>
      <c r="C10" s="16" t="inlineStr">
        <is>
          <t>SU: サインアップ・決済</t>
        </is>
      </c>
      <c r="D10" s="16" t="inlineStr">
        <is>
          <t>SU-08と同じ前提</t>
        </is>
      </c>
      <c r="E10" s="16" t="inlineStr">
        <is>
          <t>ログイン済みユーザーが有料プラン決済を拒否カードで試みる</t>
        </is>
      </c>
      <c r="F10" s="16" t="inlineStr">
        <is>
          <t>Checkout画面でエラー表示、決済不成立</t>
        </is>
      </c>
      <c r="G10" s="16" t="inlineStr">
        <is>
          <t>subscription行は更新されない（フリーのまま）</t>
        </is>
      </c>
      <c r="H10" s="16" t="inlineStr">
        <is>
          <t>Subscriptionは作成されない</t>
        </is>
      </c>
      <c r="I10" s="16" t="inlineStr">
        <is>
          <t>4000 0000 0000 0002</t>
        </is>
      </c>
      <c r="J10" s="10" t="inlineStr">
        <is>
          <t>OK</t>
        </is>
      </c>
      <c r="K10" s="10" t="n"/>
      <c r="L10" s="16" t="n"/>
    </row>
    <row r="11" ht="90" customHeight="1" s="21">
      <c r="A11" s="14" t="n">
        <v>10</v>
      </c>
      <c r="B11" s="15" t="inlineStr">
        <is>
          <t>SU-10</t>
        </is>
      </c>
      <c r="C11" s="15" t="inlineStr">
        <is>
          <t>SU: サインアップ・決済</t>
        </is>
      </c>
      <c r="D11" s="15" t="inlineStr">
        <is>
          <t>フリープランでログイン中。checkout()実行時にStripe API呼び出しが失敗する状況（テスト用に一時的にAPIキーを無効化する等で疑似的に再現）</t>
        </is>
      </c>
      <c r="E11" s="15" t="inlineStr">
        <is>
          <t>有料プランの「このプランに変更する」を押す</t>
        </is>
      </c>
      <c r="F11" s="15" t="inlineStr">
        <is>
          <t>「決済を開始できませんでした。時間をおいて再度お試しください。」がトースト表示される</t>
        </is>
      </c>
      <c r="G11" s="15" t="inlineStr">
        <is>
          <t>DBの状態は変化しない</t>
        </is>
      </c>
      <c r="H11" s="15" t="inlineStr">
        <is>
          <t>Checkoutセッションは作成されない</t>
        </is>
      </c>
      <c r="I11" s="15" t="inlineStr">
        <is>
          <t>疑似障害での確認。本番同様の再現が難しい場合はコードレビューで代替可</t>
        </is>
      </c>
      <c r="J11" s="14" t="inlineStr">
        <is>
          <t>OK</t>
        </is>
      </c>
      <c r="K11" s="14" t="n"/>
      <c r="L11" s="15" t="n"/>
    </row>
    <row r="12" ht="90" customHeight="1" s="21">
      <c r="A12" s="10" t="n">
        <v>11</v>
      </c>
      <c r="B12" s="16" t="inlineStr">
        <is>
          <t>CH-01</t>
        </is>
      </c>
      <c r="C12" s="16" t="inlineStr">
        <is>
          <t>CH: プラン変更</t>
        </is>
      </c>
      <c r="D12" s="16" t="inlineStr">
        <is>
          <t>有料プラン契約中のユーザーでログイン</t>
        </is>
      </c>
      <c r="E12" s="16" t="inlineStr">
        <is>
          <t>mypageで「プランを変更する」を押す</t>
        </is>
      </c>
      <c r="F12" s="16" t="inlineStr">
        <is>
          <t>/plan?planname=現在のプラン名 に遷移し、現在契約中のプランのボタンがdisabled（押せない）状態になっている</t>
        </is>
      </c>
      <c r="G12" s="16" t="inlineStr">
        <is>
          <t>変化なし（画面確認のみ）</t>
        </is>
      </c>
      <c r="H12" s="16" t="inlineStr">
        <is>
          <t>変化なし</t>
        </is>
      </c>
      <c r="I12" s="16" t="inlineStr">
        <is>
          <t>-</t>
        </is>
      </c>
      <c r="J12" s="10" t="inlineStr">
        <is>
          <t>OK</t>
        </is>
      </c>
      <c r="K12" s="10" t="n"/>
      <c r="L12" s="16" t="n"/>
    </row>
    <row r="13" ht="90" customHeight="1" s="21">
      <c r="A13" s="14" t="n">
        <v>12</v>
      </c>
      <c r="B13" s="15" t="inlineStr">
        <is>
          <t>CH-02</t>
        </is>
      </c>
      <c r="C13" s="15" t="inlineStr">
        <is>
          <t>CH: プラン変更</t>
        </is>
      </c>
      <c r="D13" s="15" t="inlineStr">
        <is>
          <t>有料プランA契約中（stripe_subscription_id保有）でログイン。プランB（上位プラン）が存在すること</t>
        </is>
      </c>
      <c r="E13" s="15" t="inlineStr">
        <is>
          <t>1. mypage→「プランを変更する」で/planへ遷移
2. プランBの「このプランに変更する」を押す</t>
        </is>
      </c>
      <c r="F13" s="15" t="inlineStr">
        <is>
          <t>処理完了後「サブスクリプションのアップグレードに成功しました」がトースト表示される。mypageのプラン表示がBに変わる</t>
        </is>
      </c>
      <c r="G13" s="15" t="inlineStr">
        <is>
          <t>customer.subscription.updated Webhookにより subscription 行が plan_id=B, price_id=B, current_period_end, cancel_at_period_end等で更新される</t>
        </is>
      </c>
      <c r="H13" s="15" t="inlineStr">
        <is>
          <t>同一Subscriptionのitemがproration_behavior=create_prorationsで即時更新される。日割り請求(Invoice)が発生していることを確認</t>
        </is>
      </c>
      <c r="I13" s="15" t="inlineStr">
        <is>
          <t>画面上でカード入力は不要（既存の支払い方法で即時課金）</t>
        </is>
      </c>
      <c r="J13" s="14" t="inlineStr">
        <is>
          <t>OK</t>
        </is>
      </c>
      <c r="K13" s="14" t="n"/>
      <c r="L13" s="15" t="inlineStr">
        <is>
          <t>内部的（stripe/supabace）には変わるが、フロントの表示が変わらない。
レンダーが更新されないのでplanカードは前回のプランが非活性のままで、headerカードもプランが更新されない</t>
        </is>
      </c>
    </row>
    <row r="14" ht="90" customHeight="1" s="21">
      <c r="A14" s="10" t="n">
        <v>13</v>
      </c>
      <c r="B14" s="16" t="inlineStr">
        <is>
          <t>CH-03</t>
        </is>
      </c>
      <c r="C14" s="16" t="inlineStr">
        <is>
          <t>CH: プラン変更</t>
        </is>
      </c>
      <c r="D14" s="16" t="inlineStr">
        <is>
          <t>有料プランB契約中でログイン。下位プランAが存在すること</t>
        </is>
      </c>
      <c r="E14" s="16" t="inlineStr">
        <is>
          <t>/plan?planname=B でプランAの「このプランに変更する」（ダウングレード）を押す</t>
        </is>
      </c>
      <c r="F14" s="16" t="inlineStr">
        <is>
          <t>「サブスクリプションのアップグレードに成功しました」表示。mypageのプラン表示がAに変わる</t>
        </is>
      </c>
      <c r="G14" s="16" t="inlineStr">
        <is>
          <t>subscription行がplan_id=A, price_id=Aへ更新される</t>
        </is>
      </c>
      <c r="H14" s="16" t="inlineStr">
        <is>
          <t>Subscription itemがAのpriceに変更され、日割りでクレジット（返金相当）が発生することを確認</t>
        </is>
      </c>
      <c r="I14" s="16" t="inlineStr">
        <is>
          <t>-</t>
        </is>
      </c>
      <c r="J14" s="10" t="inlineStr">
        <is>
          <t>OK</t>
        </is>
      </c>
      <c r="K14" s="10" t="n"/>
      <c r="L14" s="16" t="inlineStr">
        <is>
          <t>内部的（stripe/supabace）には変わるが、フロントの表示が変わらない。
レンダーが更新されないのでplanカードは前回のプランが非活性のままで、headerカードもプランが更新されない</t>
        </is>
      </c>
    </row>
    <row r="15" ht="90" customHeight="1" s="21">
      <c r="A15" s="14" t="n">
        <v>14</v>
      </c>
      <c r="B15" s="15" t="inlineStr">
        <is>
          <t>CH-04</t>
        </is>
      </c>
      <c r="C15" s="15" t="inlineStr">
        <is>
          <t>CH: プラン変更</t>
        </is>
      </c>
      <c r="D15" s="15" t="inlineStr">
        <is>
          <t>UpgradeSubscriptionが失敗する状況。次の2パターンを確認する
(a) 無効なprice_id（planテーブルに無い／is_active=false）を一時的に渡す → Stripeを呼ぶ前のプラン検証で止まる
(b) Stripe APIエラー（APIキーを一時的に無効化する等）</t>
        </is>
      </c>
      <c r="E15" s="15" t="inlineStr">
        <is>
          <t>プラン変更ボタンを押す</t>
        </is>
      </c>
      <c r="F15" s="15" t="inlineStr">
        <is>
          <t>「サブスクリプションのアップグレードに失敗しました」がトースト表示される</t>
        </is>
      </c>
      <c r="G15" s="15" t="inlineStr">
        <is>
          <t>subscription行は更新されない</t>
        </is>
      </c>
      <c r="H15" s="15" t="inlineStr">
        <is>
          <t>Subscriptionは変更されない（(a)の場合はStripe APIも呼ばれず、日割り請求も発生しない）</t>
        </is>
      </c>
      <c r="I15" s="15" t="inlineStr">
        <is>
          <t>疑似障害での確認</t>
        </is>
      </c>
      <c r="J15" s="14" t="inlineStr">
        <is>
          <t>OK</t>
        </is>
      </c>
      <c r="K15" s="14" t="n"/>
      <c r="L15" s="15" t="n"/>
    </row>
    <row r="16" ht="90" customHeight="1" s="21">
      <c r="A16" s="10" t="n">
        <v>15</v>
      </c>
      <c r="B16" s="16" t="inlineStr">
        <is>
          <t>CH-05</t>
        </is>
      </c>
      <c r="C16" s="16" t="inlineStr">
        <is>
          <t>CH: プラン変更</t>
        </is>
      </c>
      <c r="D16" s="16" t="inlineStr">
        <is>
          <t>解約予約中（cancel_at_period_end=true）の有料プランユーザーでログイン</t>
        </is>
      </c>
      <c r="E16" s="16" t="inlineStr">
        <is>
          <t>1. /plan で別の有料プランの「このプランに変更する」を押す
2. 確認ダイアログで「変更する」を押す</t>
        </is>
      </c>
      <c r="F16" s="16" t="inlineStr">
        <is>
          <t>・確認ダイアログに「現在の解約予定は取り消され、プランは継続されます。料金の差額は日割りで請求されます。」と表示される
・変更後、トーストに成功メッセージが表示され、mypageに「解約予定日」ではなく「次回の支払い：」が表示される。プラン名は新プランになる
・確認ダイアログを閉じた場合は何も変わらない</t>
        </is>
      </c>
      <c r="G16" s="16" t="inlineStr">
        <is>
          <t>subscription行が plan_id=新プラン, price_id=新プラン, cancel_at_period_end=false に更新される</t>
        </is>
      </c>
      <c r="H16" s="16" t="inlineStr">
        <is>
          <t>Subscriptionのpriceが新プランになり、cancel_at_period_end=false（解約予定が取り消される）。差額の日割り請求が作成される</t>
        </is>
      </c>
      <c r="I16" s="16" t="inlineStr">
        <is>
          <t>UpgradeSubscriptionは価格変更と cancel_at_period_end: false を1回のAPI呼び出しで送る仕様</t>
        </is>
      </c>
      <c r="J16" s="10" t="inlineStr">
        <is>
          <t>NG</t>
        </is>
      </c>
      <c r="K16" s="10" t="n"/>
      <c r="L16" s="16" t="inlineStr">
        <is>
          <t>プランはアップデートされるが、解約状態は続く</t>
        </is>
      </c>
    </row>
    <row r="17" ht="90" customHeight="1" s="21">
      <c r="A17" s="14" t="n">
        <v>16</v>
      </c>
      <c r="B17" s="15" t="inlineStr">
        <is>
          <t>CH-06</t>
        </is>
      </c>
      <c r="C17" s="15" t="inlineStr">
        <is>
          <t>CH: プラン変更</t>
        </is>
      </c>
      <c r="D17" s="15" t="inlineStr">
        <is>
          <t>CN-01完了後（解約予約中、cancel_at_period_end=true）</t>
        </is>
      </c>
      <c r="E17" s="15" t="inlineStr">
        <is>
          <t>1. /plan を開く
2. 現在契約中のプランの「解約を解除する」を押す</t>
        </is>
      </c>
      <c r="F17" s="15" t="inlineStr">
        <is>
          <t>・現在のプランのボタンが「解約を解除する」、フリープランのボタンが「ダウングレード予定」になっている
・押すと「サブスクリプションの再開に成功しました」が表示され、現在のプランのボタンが「現在のプラン」（押せない）に変わる</t>
        </is>
      </c>
      <c r="G17" s="15" t="inlineStr">
        <is>
          <t>subscription.cancel_at_period_end が false に更新される</t>
        </is>
      </c>
      <c r="H17" s="15" t="inlineStr">
        <is>
          <t>Subscriptionの cancel_at_period_end が false になる</t>
        </is>
      </c>
      <c r="I17" s="15" t="inlineStr">
        <is>
          <t>mypageの「解約を解除する」（RE-01）と同じ処理を /plan から実行するケース</t>
        </is>
      </c>
      <c r="J17" s="14" t="inlineStr">
        <is>
          <t>未実施</t>
        </is>
      </c>
      <c r="K17" s="14" t="n"/>
      <c r="L17" s="15" t="n"/>
    </row>
    <row r="18" ht="90" customHeight="1" s="21">
      <c r="A18" s="10" t="n">
        <v>17</v>
      </c>
      <c r="B18" s="16" t="inlineStr">
        <is>
          <t>CN-01</t>
        </is>
      </c>
      <c r="C18" s="16" t="inlineStr">
        <is>
          <t>CN: プラン解約</t>
        </is>
      </c>
      <c r="D18" s="16" t="inlineStr">
        <is>
          <t>有料プラン契約中（stripe_subscription_id保有、cancel_at_period_end=false）でログイン</t>
        </is>
      </c>
      <c r="E18" s="16" t="inlineStr">
        <is>
          <t>1. mypageで「プランを解約する」を押す
2. 確認ダイアログで「解約」を押す</t>
        </is>
      </c>
      <c r="F18" s="16" t="inlineStr">
        <is>
          <t>「サブスクリプションを解約しました」表示。mypageが「解約予定日：〇〇」表示と「解約を解除する」ボタンに切り替わる</t>
        </is>
      </c>
      <c r="G18" s="16" t="inlineStr">
        <is>
          <t>subscription.cancel_at_period_end が true に更新される（レコード自体はまだ削除されない）</t>
        </is>
      </c>
      <c r="H18" s="16" t="inlineStr">
        <is>
          <t>StripeのSubscriptionがcancel_at_period_end=trueになる（ステータスはまだactive）</t>
        </is>
      </c>
      <c r="I18" s="16" t="inlineStr">
        <is>
          <t>-</t>
        </is>
      </c>
      <c r="J18" s="10" t="inlineStr">
        <is>
          <t>OK</t>
        </is>
      </c>
      <c r="K18" s="10" t="n"/>
      <c r="L18" s="16" t="n"/>
    </row>
    <row r="19" ht="90" customHeight="1" s="21">
      <c r="A19" s="14" t="n">
        <v>18</v>
      </c>
      <c r="B19" s="15" t="inlineStr">
        <is>
          <t>CN-02</t>
        </is>
      </c>
      <c r="C19" s="15" t="inlineStr">
        <is>
          <t>CN: プラン解約</t>
        </is>
      </c>
      <c r="D19" s="15" t="inlineStr">
        <is>
          <t>CN-01と同じ前提</t>
        </is>
      </c>
      <c r="E19" s="15" t="inlineStr">
        <is>
          <t>「プランを解約する」→確認ダイアログで「キャンセル」（閉じる）を押す</t>
        </is>
      </c>
      <c r="F19" s="15" t="inlineStr">
        <is>
          <t>画面は変化せず、通常のプラン表示のまま</t>
        </is>
      </c>
      <c r="G19" s="15" t="inlineStr">
        <is>
          <t>subscription行は変化しない</t>
        </is>
      </c>
      <c r="H19" s="15" t="inlineStr">
        <is>
          <t>Stripe側も変化しない</t>
        </is>
      </c>
      <c r="I19" s="15" t="inlineStr">
        <is>
          <t>誤操作防止の確認</t>
        </is>
      </c>
      <c r="J19" s="14" t="inlineStr">
        <is>
          <t>OK</t>
        </is>
      </c>
      <c r="K19" s="14" t="n"/>
      <c r="L19" s="15" t="n"/>
    </row>
    <row r="20" ht="90" customHeight="1" s="21">
      <c r="A20" s="10" t="n">
        <v>19</v>
      </c>
      <c r="B20" s="16" t="inlineStr">
        <is>
          <t>CN-03</t>
        </is>
      </c>
      <c r="C20" s="16" t="inlineStr">
        <is>
          <t>CN: プラン解約</t>
        </is>
      </c>
      <c r="D20" s="16" t="inlineStr">
        <is>
          <t>Unsubscription呼び出し時にStripe APIエラーが起きる状況（無効なstripe_subscription_idを一時的にセットする等）</t>
        </is>
      </c>
      <c r="E20" s="16" t="inlineStr">
        <is>
          <t>解約を実行する</t>
        </is>
      </c>
      <c r="F20" s="16" t="inlineStr">
        <is>
          <t>「サブスクリプションの解約に失敗しました」がトースト表示される</t>
        </is>
      </c>
      <c r="G20" s="16" t="inlineStr">
        <is>
          <t>subscription行は更新されない</t>
        </is>
      </c>
      <c r="H20" s="16" t="inlineStr">
        <is>
          <t>Stripe側も変化しない</t>
        </is>
      </c>
      <c r="I20" s="16" t="inlineStr">
        <is>
          <t>疑似障害での確認</t>
        </is>
      </c>
      <c r="J20" s="10" t="inlineStr">
        <is>
          <t>OK</t>
        </is>
      </c>
      <c r="K20" s="10" t="n"/>
      <c r="L20" s="16" t="n"/>
    </row>
    <row r="21" ht="90" customHeight="1" s="21">
      <c r="A21" s="14" t="n">
        <v>20</v>
      </c>
      <c r="B21" s="15" t="inlineStr">
        <is>
          <t>CN-04</t>
        </is>
      </c>
      <c r="C21" s="15" t="inlineStr">
        <is>
          <t>CN: プラン解約</t>
        </is>
      </c>
      <c r="D21" s="15" t="inlineStr">
        <is>
          <t>CN-01完了後（cancel_at_period_end=trueの状態）</t>
        </is>
      </c>
      <c r="E21" s="15" t="inlineStr">
        <is>
          <t>１.Stripe CLI で Webhook を転送しておく（stripe listen --forward-to localhost:3000/api/stripe/webhook）
２.次のどちらかで解約を確定させる
　・Test Clocks で、期間終了より後まで時間を進める（本来の流れ）
　・Stripe ダッシュボード（テストモード）で、該当するサブスクを「今すぐキャンセル」する（簡易確認）
※ stripe trigger customer.subscription.deleted は DB の行と紐付かないため、代わりの手段にはならない</t>
        </is>
      </c>
      <c r="F21" s="15" t="inlineStr">
        <is>
          <t>・mypage の現在のプランがフリープランの名前になる。「次回の支払い：支払いなし」と表示され、「プランを解約する」ボタンが表示されない
・/plan ではフリープランが「現在のプラン」、有料プランが「このプランに変更する」になる
・台本がフリープランの上限より多い場合、作成日が新しい順に上限数までが使え、残りはロック表示になる（削除だけできる）</t>
        </is>
      </c>
      <c r="G21" s="15" t="inlineStr">
        <is>
          <t>subscription の行がフリープランに更新される
plan_id=フリー、stripe_subscription_id / price_id / current_period_end=null、cancel_at_period_end=false</t>
        </is>
      </c>
      <c r="H21" s="15" t="inlineStr">
        <is>
          <t>Stripe の Subscription が status='canceled' になる</t>
        </is>
      </c>
      <c r="I21" s="15" t="inlineStr">
        <is>
          <t>期間の経過をともなう、本来の解約確定の流れ。Test Clocks を使わない場合は、ダッシュボードの「今すぐキャンセル」で代わりに確認する</t>
        </is>
      </c>
      <c r="J21" s="14" t="inlineStr">
        <is>
          <t>OK</t>
        </is>
      </c>
      <c r="K21" s="14" t="n"/>
      <c r="L21" s="15" t="inlineStr">
        <is>
          <t>subscriptionテーブルの行自体を消すのでフリープランに変更するようにする</t>
        </is>
      </c>
    </row>
    <row r="22" ht="90" customHeight="1" s="21">
      <c r="A22" s="10" t="n">
        <v>21</v>
      </c>
      <c r="B22" s="16" t="inlineStr">
        <is>
          <t>RE-01</t>
        </is>
      </c>
      <c r="C22" s="16" t="inlineStr">
        <is>
          <t>RE: プラン再契約</t>
        </is>
      </c>
      <c r="D22" s="16" t="inlineStr">
        <is>
          <t>CN-01完了後（解約予約中、cancel_at_period_end=true、まだ契約期間内）</t>
        </is>
      </c>
      <c r="E22" s="16" t="inlineStr">
        <is>
          <t>mypageで「解約を解除する」を押す</t>
        </is>
      </c>
      <c r="F22" s="16" t="inlineStr">
        <is>
          <t>「サブスクリプションの再開に成功しました」表示。「解約予定日」表示が消え、通常の「次回の支払い：」表示に戻る</t>
        </is>
      </c>
      <c r="G22" s="16" t="inlineStr">
        <is>
          <t>subscription.cancel_at_period_endがfalseに更新される</t>
        </is>
      </c>
      <c r="H22" s="16" t="inlineStr">
        <is>
          <t>StripeのSubscriptionのcancel_at_period_endがfalseに戻る（Subscription自体は継続していたので新規決済は発生しない）</t>
        </is>
      </c>
      <c r="I22" s="16" t="inlineStr">
        <is>
          <t>-</t>
        </is>
      </c>
      <c r="J22" s="10" t="inlineStr">
        <is>
          <t>OK</t>
        </is>
      </c>
      <c r="K22" s="10" t="n"/>
      <c r="L22" s="16" t="inlineStr">
        <is>
          <t>「プランを再開する」に成功したらレンダーを更新する（マイページとheaderも更新）</t>
        </is>
      </c>
    </row>
    <row r="23" ht="90" customHeight="1" s="21">
      <c r="A23" s="14" t="n">
        <v>22</v>
      </c>
      <c r="B23" s="15" t="inlineStr">
        <is>
          <t>RE-02</t>
        </is>
      </c>
      <c r="C23" s="15" t="inlineStr">
        <is>
          <t>RE: プラン再契約</t>
        </is>
      </c>
      <c r="D23" s="15" t="inlineStr">
        <is>
          <t>ReactivateSubscription呼び出し時にStripe APIエラーが起きる状況</t>
        </is>
      </c>
      <c r="E23" s="15" t="inlineStr">
        <is>
          <t>「解約を解除する」を押す</t>
        </is>
      </c>
      <c r="F23" s="15" t="inlineStr">
        <is>
          <t>「サブスクリプションの再開に失敗しました」表示</t>
        </is>
      </c>
      <c r="G23" s="15" t="inlineStr">
        <is>
          <t>subscription行は更新されない</t>
        </is>
      </c>
      <c r="H23" s="15" t="inlineStr">
        <is>
          <t>Stripe側も変化しない</t>
        </is>
      </c>
      <c r="I23" s="15" t="inlineStr">
        <is>
          <t>疑似障害での確認</t>
        </is>
      </c>
      <c r="J23" s="14" t="inlineStr">
        <is>
          <t>OK</t>
        </is>
      </c>
      <c r="K23" s="14" t="n"/>
      <c r="L23" s="15" t="n"/>
    </row>
    <row r="24" ht="90" customHeight="1" s="21">
      <c r="A24" s="10" t="n">
        <v>23</v>
      </c>
      <c r="B24" s="16" t="inlineStr">
        <is>
          <t>RE-03</t>
        </is>
      </c>
      <c r="C24" s="16" t="inlineStr">
        <is>
          <t>RE: プラン再契約</t>
        </is>
      </c>
      <c r="D24" s="16" t="inlineStr">
        <is>
          <t>CN-04 が完了し、subscription の行がフリープランに戻ったユーザー（stripe_subscription_id=null）でログインしている</t>
        </is>
      </c>
      <c r="E24" s="16" t="inlineStr">
        <is>
          <t>1. mypage の「プランを変更する」、または /plan から、有料プランの「このプランに変更する」を押し、Checkout で決済する
2. 決済が終わったら、DB と Stripe を確認する</t>
        </is>
      </c>
      <c r="F24" s="16" t="inlineStr">
        <is>
          <t>決済完了後 /protected に戻り、mypageのプラン表示が新しい有料プラン名になっている</t>
        </is>
      </c>
      <c r="G24" s="16" t="inlineStr">
        <is>
          <t>★確認ポイント：customer.subscription.created の Webhook によって、既存の subscription の行が update され、plan_id=選んだプラン、price_id、stripe_subscription_id=新しい ID、status='active'、current_period_end、cancel_at_period_end=false になる</t>
        </is>
      </c>
      <c r="H24" s="16" t="inlineStr">
        <is>
          <t>既存customerに対して新しいSubscriptionが作成される</t>
        </is>
      </c>
      <c r="I24" s="16" t="inlineStr">
        <is>
          <t>解約が確定したあとの再契約の流れ。新しい Stripe Subscription が同じ customer に作られ、DB の行が更新されることを確認する</t>
        </is>
      </c>
      <c r="J24" s="10" t="inlineStr">
        <is>
          <t>OK</t>
        </is>
      </c>
      <c r="K24" s="10" t="n"/>
      <c r="L24" s="16" t="inlineStr">
        <is>
          <t>有料プラン解約した後subscripionテーブルを削除せず、freeプランに戻す。
でないと、RLSの作成上限に引っかかり台本を作れなくなる</t>
        </is>
      </c>
    </row>
    <row r="25" ht="90" customHeight="1" s="21">
      <c r="A25" s="14" t="n">
        <v>24</v>
      </c>
      <c r="B25" s="15" t="inlineStr">
        <is>
          <t>RE-04</t>
        </is>
      </c>
      <c r="C25" s="15" t="inlineStr">
        <is>
          <t>RE: プラン再契約</t>
        </is>
      </c>
      <c r="D25" s="15" t="inlineStr">
        <is>
          <t>RE-01またはRE-03完了直後</t>
        </is>
      </c>
      <c r="E25" s="15" t="inlineStr">
        <is>
          <t>mypageのプラン情報（現在のプラン名、次回支払い日、台本数上限）を確認する</t>
        </is>
      </c>
      <c r="F25" s="15" t="inlineStr">
        <is>
          <t>契約中のプラン名・次回支払日（current_period_end）・max_scriptsが正しい値で表示されている</t>
        </is>
      </c>
      <c r="G25" s="15" t="inlineStr">
        <is>
          <t>subscriptionとplanのjoin結果（userPlan）が最新の状態になっている</t>
        </is>
      </c>
      <c r="H25" s="15" t="inlineStr">
        <is>
          <t>Stripeダッシュボードの請求情報と日時が一致している（日本時間表記であることも確認）</t>
        </is>
      </c>
      <c r="I25" s="15" t="inlineStr">
        <is>
          <t>-</t>
        </is>
      </c>
      <c r="J25" s="14" t="inlineStr">
        <is>
          <t>OK</t>
        </is>
      </c>
      <c r="K25" s="14" t="n"/>
      <c r="L25" s="15" t="inlineStr">
        <is>
          <t>プランをアップグレードしたときにsubscripionテーブルのstatus:incompleteになってしまうので直す。
でないと、RLSの作成上限に引っかかり台本を作れなくなる</t>
        </is>
      </c>
    </row>
    <row r="26" ht="90" customHeight="1" s="21">
      <c r="A26" s="10" t="n">
        <v>25</v>
      </c>
      <c r="B26" s="16" t="inlineStr">
        <is>
          <t>LK-01</t>
        </is>
      </c>
      <c r="C26" s="16" t="inlineStr">
        <is>
          <t>LK: 台本上限・ロック</t>
        </is>
      </c>
      <c r="D26" s="16" t="inlineStr">
        <is>
          <t>有料プランで、フリープランの上限（max_scripts）より多い台本を作成済み。CN-04で解約を確定させた（または下位プランに変更した）直後</t>
        </is>
      </c>
      <c r="E26" s="16" t="inlineStr">
        <is>
          <t>台本一覧（/protected）を開く</t>
        </is>
      </c>
      <c r="F26" s="16" t="inlineStr">
        <is>
          <t>・作成日が新しい順に上限数までの台本は通常表示
・それより古い台本は薄く表示され、鍵アイコンと「プランをアップグレード」「削除」ボタンだけが表示される（編集・プロンプター表示・タイトル変更はできない）</t>
        </is>
      </c>
      <c r="G26" s="16" t="inlineStr">
        <is>
          <t>script行は削除・変更されない（ロックは表示時に計算するだけでDBには持たない）</t>
        </is>
      </c>
      <c r="H26" s="16" t="inlineStr">
        <is>
          <t>-</t>
        </is>
      </c>
      <c r="I26" s="16" t="inlineStr">
        <is>
          <t>作成日（inserted_at）が新しい順に有効になる。更新日ではない点に注意</t>
        </is>
      </c>
      <c r="J26" s="10" t="inlineStr">
        <is>
          <t>未実施</t>
        </is>
      </c>
      <c r="K26" s="10" t="n"/>
      <c r="L26" s="16" t="n"/>
    </row>
    <row r="27" ht="90" customHeight="1" s="21">
      <c r="A27" s="14" t="n">
        <v>26</v>
      </c>
      <c r="B27" s="15" t="inlineStr">
        <is>
          <t>LK-02</t>
        </is>
      </c>
      <c r="C27" s="15" t="inlineStr">
        <is>
          <t>LK: 台本上限・ロック</t>
        </is>
      </c>
      <c r="D27" s="15" t="inlineStr">
        <is>
          <t>LK-01の状態</t>
        </is>
      </c>
      <c r="E27" s="15" t="inlineStr">
        <is>
          <t>1. ロック中の台本のIDを控え、/protected/script/edit/{id} を直接開く
2. /protected/script/prompter/{id} を直接開く</t>
        </is>
      </c>
      <c r="F27" s="15" t="inlineStr">
        <is>
          <t>どちらも「この台本はロックされています。上位プランにアップデートしてください。」が表示され、台本の内容は表示されない</t>
        </is>
      </c>
      <c r="G27" s="15" t="inlineStr">
        <is>
          <t>変化なし</t>
        </is>
      </c>
      <c r="H27" s="15" t="inlineStr">
        <is>
          <t>-</t>
        </is>
      </c>
      <c r="I27" s="15" t="inlineStr">
        <is>
          <t>サーバー側（getEditScript）での拒否の確認。editScript／editScriptNameもロック中は更新を拒否する</t>
        </is>
      </c>
      <c r="J27" s="14" t="inlineStr">
        <is>
          <t>未実施</t>
        </is>
      </c>
      <c r="K27" s="14" t="n"/>
      <c r="L27" s="15" t="n"/>
    </row>
    <row r="28" ht="90" customHeight="1" s="21">
      <c r="A28" s="10" t="n">
        <v>27</v>
      </c>
      <c r="B28" s="16" t="inlineStr">
        <is>
          <t>LK-03</t>
        </is>
      </c>
      <c r="C28" s="16" t="inlineStr">
        <is>
          <t>LK: 台本上限・ロック</t>
        </is>
      </c>
      <c r="D28" s="16" t="inlineStr">
        <is>
          <t>LK-01の状態</t>
        </is>
      </c>
      <c r="E28" s="16" t="inlineStr">
        <is>
          <t>使える状態（ロックされていない）の台本を1件削除する</t>
        </is>
      </c>
      <c r="F28" s="16" t="inlineStr">
        <is>
          <t>ロック中だった台本のうち、作成日が一番新しい1件のロックが外れ、通常表示になる</t>
        </is>
      </c>
      <c r="G28" s="16" t="inlineStr">
        <is>
          <t>削除した台本の行だけが削除される</t>
        </is>
      </c>
      <c r="H28" s="16" t="inlineStr">
        <is>
          <t>-</t>
        </is>
      </c>
      <c r="I28" s="16" t="inlineStr">
        <is>
          <t>-</t>
        </is>
      </c>
      <c r="J28" s="10" t="inlineStr">
        <is>
          <t>未実施</t>
        </is>
      </c>
      <c r="K28" s="10" t="n"/>
      <c r="L28" s="16" t="n"/>
    </row>
    <row r="29" ht="90" customHeight="1" s="21">
      <c r="A29" s="14" t="n">
        <v>28</v>
      </c>
      <c r="B29" s="15" t="inlineStr">
        <is>
          <t>LK-04</t>
        </is>
      </c>
      <c r="C29" s="15" t="inlineStr">
        <is>
          <t>LK: 台本上限・ロック</t>
        </is>
      </c>
      <c r="D29" s="15" t="inlineStr">
        <is>
          <t>LK-01の状態</t>
        </is>
      </c>
      <c r="E29" s="15" t="inlineStr">
        <is>
          <t>/plan から有料プランに再契約する（RE-03の手順）</t>
        </is>
      </c>
      <c r="F29" s="15" t="inlineStr">
        <is>
          <t>上限が上がり、ロック中だった台本が通常表示に戻る（無制限プランなら全件）。編集・プロンプター表示ができる</t>
        </is>
      </c>
      <c r="G29" s="15" t="inlineStr">
        <is>
          <t>script行は変化しない（ロック情報はDBに持たないため）</t>
        </is>
      </c>
      <c r="H29" s="15" t="inlineStr">
        <is>
          <t>-</t>
        </is>
      </c>
      <c r="I29" s="15" t="inlineStr">
        <is>
          <t>-</t>
        </is>
      </c>
      <c r="J29" s="14" t="inlineStr">
        <is>
          <t>未実施</t>
        </is>
      </c>
      <c r="K29" s="14" t="n"/>
      <c r="L29" s="15" t="n"/>
    </row>
    <row r="30" ht="90" customHeight="1" s="21">
      <c r="A30" s="10" t="n">
        <v>29</v>
      </c>
      <c r="B30" s="16" t="inlineStr">
        <is>
          <t>LK-05</t>
        </is>
      </c>
      <c r="C30" s="16" t="inlineStr">
        <is>
          <t>LK: 台本上限・ロック</t>
        </is>
      </c>
      <c r="D30" s="16" t="inlineStr">
        <is>
          <t>フリープランで、台本数が上限（max_scripts）に達している</t>
        </is>
      </c>
      <c r="E30" s="16" t="inlineStr">
        <is>
          <t>1. 台本一覧（/protected）を開く
2. （任意）createScriptを直接実行する等で作成を試みる</t>
        </is>
      </c>
      <c r="F30" s="16" t="inlineStr">
        <is>
          <t>・「新規作成」ボタンの代わりに「プランをアップグレード」ボタンと上限到達の案内文が表示される
・createScriptを直接実行した場合は「台本の作成上限に達しています。プランをアップグレードしてください。」が返る</t>
        </is>
      </c>
      <c r="G30" s="16" t="inlineStr">
        <is>
          <t>RLSによりscript行は追加されない（エラーコード42501）</t>
        </is>
      </c>
      <c r="H30" s="16" t="inlineStr">
        <is>
          <t>-</t>
        </is>
      </c>
      <c r="I30" s="16" t="inlineStr">
        <is>
          <t>作成上限はSupabaseのRLSで制御している</t>
        </is>
      </c>
      <c r="J30" s="10" t="inlineStr">
        <is>
          <t>未実施</t>
        </is>
      </c>
      <c r="K30" s="10" t="n"/>
      <c r="L30" s="16" t="n"/>
    </row>
    <row r="31" ht="90" customHeight="1" s="21">
      <c r="A31" s="14" t="n">
        <v>30</v>
      </c>
      <c r="B31" s="15" t="inlineStr">
        <is>
          <t>DL-01</t>
        </is>
      </c>
      <c r="C31" s="15" t="inlineStr">
        <is>
          <t>DL: ユーザー削除</t>
        </is>
      </c>
      <c r="D31" s="15" t="inlineStr">
        <is>
          <t>有料プラン契約中（アクティブなStripe Subscriptionあり）のユーザーでログイン</t>
        </is>
      </c>
      <c r="E31" s="15" t="inlineStr">
        <is>
          <t>1. mypageの「アカウント削除」を押す
2. 確認ダイアログで削除を確定する</t>
        </is>
      </c>
      <c r="F31" s="15" t="inlineStr">
        <is>
          <t>処理完了後、サインアウトされ「/」（トップページ）へリダイレクトされる</t>
        </is>
      </c>
      <c r="G31" s="15" t="inlineStr">
        <is>
          <t>profile行・subscription行・script行（台本）がON DELETE CASCADEで削除される。Supabase Authのユーザーも削除される（管理画面/管理APIで確認）</t>
        </is>
      </c>
      <c r="H31" s="15" t="inlineStr">
        <is>
          <t>Stripeの顧客(customer)が削除される。顧客削除に伴い紐づくSubscriptionもcanceledになることを確認する</t>
        </is>
      </c>
      <c r="I31" s="15" t="inlineStr">
        <is>
          <t>-</t>
        </is>
      </c>
      <c r="J31" s="14" t="inlineStr">
        <is>
          <t>OK</t>
        </is>
      </c>
      <c r="K31" s="14" t="n"/>
      <c r="L31" s="15" t="n"/>
    </row>
    <row r="32" ht="90" customHeight="1" s="21">
      <c r="A32" s="10" t="n">
        <v>31</v>
      </c>
      <c r="B32" s="16" t="inlineStr">
        <is>
          <t>DL-02</t>
        </is>
      </c>
      <c r="C32" s="16" t="inlineStr">
        <is>
          <t>DL: ユーザー削除</t>
        </is>
      </c>
      <c r="D32" s="16" t="inlineStr">
        <is>
          <t>フリープランのまま（一度も決済していない）ユーザーでログイン</t>
        </is>
      </c>
      <c r="E32" s="16" t="inlineStr">
        <is>
          <t>アカウント削除を実行する</t>
        </is>
      </c>
      <c r="F32" s="16" t="inlineStr">
        <is>
          <t>DL-01と同様に削除・リダイレクトされる</t>
        </is>
      </c>
      <c r="G32" s="16" t="inlineStr">
        <is>
          <t>profile行・subscription行・script行（台本）がON DELETE CASCADEで削除される。Supabase Authのユーザーも削除される（管理画面/管理APIで確認）</t>
        </is>
      </c>
      <c r="H32" s="16" t="inlineStr">
        <is>
          <t>Stripe顧客（サブスクリプションなし）が削除される</t>
        </is>
      </c>
      <c r="I32" s="16" t="inlineStr">
        <is>
          <t>-</t>
        </is>
      </c>
      <c r="J32" s="10" t="inlineStr">
        <is>
          <t>OK</t>
        </is>
      </c>
      <c r="K32" s="10" t="n"/>
      <c r="L32" s="16" t="n"/>
    </row>
    <row r="33" ht="90" customHeight="1" s="21">
      <c r="A33" s="14" t="n">
        <v>32</v>
      </c>
      <c r="B33" s="15" t="inlineStr">
        <is>
          <t>DL-03</t>
        </is>
      </c>
      <c r="C33" s="15" t="inlineStr">
        <is>
          <t>DL: ユーザー削除</t>
        </is>
      </c>
      <c r="D33" s="15" t="inlineStr">
        <is>
          <t>任意のログイン中ユーザー</t>
        </is>
      </c>
      <c r="E33" s="15" t="inlineStr">
        <is>
          <t>「アカウント削除」→確認ダイアログで「キャンセル」を押す</t>
        </is>
      </c>
      <c r="F33" s="15" t="inlineStr">
        <is>
          <t>何も起きず、mypage画面に留まる</t>
        </is>
      </c>
      <c r="G33" s="15" t="inlineStr">
        <is>
          <t>変化なし</t>
        </is>
      </c>
      <c r="H33" s="15" t="inlineStr">
        <is>
          <t>変化なし</t>
        </is>
      </c>
      <c r="I33" s="15" t="inlineStr">
        <is>
          <t>誤操作防止の確認</t>
        </is>
      </c>
      <c r="J33" s="14" t="inlineStr">
        <is>
          <t>OK</t>
        </is>
      </c>
      <c r="K33" s="14" t="n"/>
      <c r="L33" s="15" t="n"/>
    </row>
    <row r="34" ht="90" customHeight="1" s="21">
      <c r="A34" s="10" t="n">
        <v>33</v>
      </c>
      <c r="B34" s="16" t="inlineStr">
        <is>
          <t>DL-04</t>
        </is>
      </c>
      <c r="C34" s="16" t="inlineStr">
        <is>
          <t>DL: ユーザー削除</t>
        </is>
      </c>
      <c r="D34" s="16" t="inlineStr">
        <is>
          <t>次のいずれかを疑似的に再現する
(a) ログインユーザー情報（getUserInfo）が取得できない
(b) Stripeの顧客削除APIがresource_missing以外のエラーで失敗する（APIキーを一時的に無効化する等）</t>
        </is>
      </c>
      <c r="E34" s="16" t="inlineStr">
        <is>
          <t>アカウント削除を実行する</t>
        </is>
      </c>
      <c r="F34" s="16" t="inlineStr">
        <is>
          <t>「ユーザー削除に失敗しました。しばらくしてからもう一度お試しください。」が表示される</t>
        </is>
      </c>
      <c r="G34" s="16" t="inlineStr">
        <is>
          <t>Authユーザー・profile・subscription・scriptのいずれも削除されない</t>
        </is>
      </c>
      <c r="H34" s="16" t="inlineStr">
        <is>
          <t>Stripe顧客が削除されない。Stripe顧客が残ったままAuthユーザーだけ消える不整合が起きていないこと</t>
        </is>
      </c>
      <c r="I34" s="16" t="inlineStr">
        <is>
          <t>Stripe顧客の削除に失敗した場合はAuthユーザーを削除しない（課金だけ残る事故を防ぐ）仕様の確認</t>
        </is>
      </c>
      <c r="J34" s="10" t="inlineStr">
        <is>
          <t>OK</t>
        </is>
      </c>
      <c r="K34" s="10" t="n"/>
      <c r="L34" s="16" t="inlineStr">
        <is>
          <t>supabaceのDB削除が失敗してもcatchに入らないから修正するべき</t>
        </is>
      </c>
    </row>
    <row r="35" ht="90" customHeight="1" s="21">
      <c r="A35" s="14" t="n">
        <v>34</v>
      </c>
      <c r="B35" s="15" t="inlineStr">
        <is>
          <t>DL-05</t>
        </is>
      </c>
      <c r="C35" s="15" t="inlineStr">
        <is>
          <t>DL: ユーザー削除</t>
        </is>
      </c>
      <c r="D35" s="15" t="inlineStr">
        <is>
          <t>DL-01またはDL-02で削除済みのメールアドレス</t>
        </is>
      </c>
      <c r="E35" s="15" t="inlineStr">
        <is>
          <t>同じメールアドレス・任意のパスワードで /sign-up から再登録する</t>
        </is>
      </c>
      <c r="F35" s="15" t="inlineStr">
        <is>
          <t>「ユーザーはすでに存在しています。」等のエラーにならず、新規登録が正常に完了する</t>
        </is>
      </c>
      <c r="G35" s="15" t="inlineStr">
        <is>
          <t>新しいuser_idでprofile/subscriptionが新規作成される（古いデータの残存がないこと）</t>
        </is>
      </c>
      <c r="H35" s="15" t="inlineStr">
        <is>
          <t>新しいStripe顧客が作成される（削除前の顧客IDと重複しないこと）</t>
        </is>
      </c>
      <c r="I35" s="15" t="inlineStr">
        <is>
          <t>アカウント削除の完全性を確認する重要ケース</t>
        </is>
      </c>
      <c r="J35" s="14" t="inlineStr">
        <is>
          <t>OK</t>
        </is>
      </c>
      <c r="K35" s="14" t="n"/>
      <c r="L35" s="15" t="n"/>
    </row>
    <row r="36" ht="90" customHeight="1" s="21">
      <c r="A36" s="10" t="n">
        <v>35</v>
      </c>
      <c r="B36" s="16" t="inlineStr">
        <is>
          <t>DL-06</t>
        </is>
      </c>
      <c r="C36" s="16" t="inlineStr">
        <is>
          <t>DL: ユーザー削除</t>
        </is>
      </c>
      <c r="D36" s="16" t="inlineStr">
        <is>
          <t>Stripeダッシュボードで、対象ユーザーのStripe顧客だけを先に削除しておく（前回のアカウント削除がAuthユーザー削除の手前で失敗した状態を再現）</t>
        </is>
      </c>
      <c r="E36" s="16" t="inlineStr">
        <is>
          <t>mypageからアカウント削除を実行する</t>
        </is>
      </c>
      <c r="F36" s="16" t="inlineStr">
        <is>
          <t>エラーにならず、サインアウトされて「/」へリダイレクトされる</t>
        </is>
      </c>
      <c r="G36" s="16" t="inlineStr">
        <is>
          <t>Authユーザー・profile・subscription・scriptが削除される</t>
        </is>
      </c>
      <c r="H36" s="16" t="inlineStr">
        <is>
          <t>顧客は削除済みのまま（resource_missingエラーが返るが成功扱いになる）</t>
        </is>
      </c>
      <c r="I36" s="16" t="inlineStr">
        <is>
          <t>Stripe顧客の削除済み（resource_missing）を成功扱いにして、アカウント削除を再実行できることの確認</t>
        </is>
      </c>
      <c r="J36" s="10" t="inlineStr">
        <is>
          <t>未実施</t>
        </is>
      </c>
      <c r="K36" s="10" t="n"/>
      <c r="L36" s="16" t="n"/>
    </row>
    <row r="37" ht="90" customHeight="1" s="21">
      <c r="A37" s="14" t="n">
        <v>36</v>
      </c>
      <c r="B37" s="15" t="inlineStr">
        <is>
          <t>WH-01</t>
        </is>
      </c>
      <c r="C37" s="15" t="inlineStr">
        <is>
          <t>WH: Webhook確認</t>
        </is>
      </c>
      <c r="D37" s="15" t="inlineStr">
        <is>
          <t>Stripe CLIがインストール済み、テストモードのAPIキーを.envに設定済み</t>
        </is>
      </c>
      <c r="E37" s="15" t="inlineStr">
        <is>
          <t>ローカル開発サーバー起動後、別ターミナルで `stripe listen --forward-to localhost:3000/api/stripe/webhook` を実行し、表示されたwebhook signing secretを STRIPE_WEBHOOK_SECRET に設定する</t>
        </is>
      </c>
      <c r="F37" s="15" t="inlineStr">
        <is>
          <t>-</t>
        </is>
      </c>
      <c r="G37" s="15" t="inlineStr">
        <is>
          <t>-</t>
        </is>
      </c>
      <c r="H37" s="15" t="inlineStr">
        <is>
          <t>Stripe CLIのログにイベントがforwardされ、200 OKが返っていることを確認</t>
        </is>
      </c>
      <c r="I37" s="15" t="inlineStr">
        <is>
          <t>全ての決済系テストの前提作業</t>
        </is>
      </c>
      <c r="J37" s="14" t="inlineStr">
        <is>
          <t>OK</t>
        </is>
      </c>
      <c r="K37" s="14" t="n"/>
      <c r="L37" s="15" t="n"/>
    </row>
    <row r="38" ht="90" customHeight="1" s="21">
      <c r="A38" s="10" t="n">
        <v>37</v>
      </c>
      <c r="B38" s="16" t="inlineStr">
        <is>
          <t>WH-02</t>
        </is>
      </c>
      <c r="C38" s="16" t="inlineStr">
        <is>
          <t>WH: Webhook確認</t>
        </is>
      </c>
      <c r="D38" s="16" t="inlineStr">
        <is>
          <t>WH-01の設定完了後、SU-02等で決済操作を行う</t>
        </is>
      </c>
      <c r="E38" s="16" t="inlineStr">
        <is>
          <t>サーバーログ（コンソール）を確認する</t>
        </is>
      </c>
      <c r="F38" s="16" t="inlineStr">
        <is>
          <t>-</t>
        </is>
      </c>
      <c r="G38" s="16" t="inlineStr">
        <is>
          <t>-</t>
        </is>
      </c>
      <c r="H38" s="16" t="inlineStr">
        <is>
          <t>checkout.session.completed / customer.subscription.created / customer.subscription.updated / customer.subscription.deleted / invoice.payment_succeeded / invoice.payment_failed の各イベントが想定通りのタイミングでログ出力されていることを確認</t>
        </is>
      </c>
      <c r="I38" s="16" t="inlineStr">
        <is>
          <t>route.tsのswitch文のログ絵文字と合わせて確認すると分かりやすい</t>
        </is>
      </c>
      <c r="J38" s="10" t="inlineStr">
        <is>
          <t>OK</t>
        </is>
      </c>
      <c r="K38" s="10" t="n"/>
      <c r="L38" s="16" t="n"/>
    </row>
    <row r="39" ht="90" customHeight="1" s="21">
      <c r="A39" s="14" t="n">
        <v>38</v>
      </c>
      <c r="B39" s="15" t="inlineStr">
        <is>
          <t>WH-03</t>
        </is>
      </c>
      <c r="C39" s="15" t="inlineStr">
        <is>
          <t>WH: Webhook確認</t>
        </is>
      </c>
      <c r="D39" s="15" t="inlineStr">
        <is>
          <t>有料プラン契約済みユーザー</t>
        </is>
      </c>
      <c r="E39" s="15" t="inlineStr">
        <is>
          <t>mypageの「次回の支払い」または「解約予定日」の表示と、Stripeダッシュボード上のcurrent_period_endを見比べる</t>
        </is>
      </c>
      <c r="F39" s="15" t="inlineStr">
        <is>
          <t>日本時間（ja-JP, Asia/Tokyo基準）で日時が正しく変換され表示されている</t>
        </is>
      </c>
      <c r="G39" s="15" t="inlineStr">
        <is>
          <t>subscription.current_period_endの文字列がロケール変換で崩れていないか確認</t>
        </is>
      </c>
      <c r="H39" s="15" t="inlineStr">
        <is>
          <t>-</t>
        </is>
      </c>
      <c r="I39" s="15" t="inlineStr">
        <is>
          <t>toLocaleStringの変換ロジックの確認</t>
        </is>
      </c>
      <c r="J39" s="14" t="inlineStr">
        <is>
          <t>OK</t>
        </is>
      </c>
      <c r="K39" s="14" t="n"/>
      <c r="L39" s="15" t="n"/>
    </row>
    <row r="40" ht="90" customHeight="1" s="21">
      <c r="A40" s="10" t="n">
        <v>39</v>
      </c>
      <c r="B40" s="16" t="inlineStr">
        <is>
          <t>WH-04</t>
        </is>
      </c>
      <c r="C40" s="16" t="inlineStr">
        <is>
          <t>WH: Webhook確認</t>
        </is>
      </c>
      <c r="D40" s="16" t="inlineStr">
        <is>
          <t>一連のテスト（SU/CH/CN/RE/DL）を一通り実施した後</t>
        </is>
      </c>
      <c r="E40" s="16" t="inlineStr">
        <is>
          <t>Supabaseのprofile/subscriptionテーブルとStripeダッシュボード（顧客・サブスクリプション一覧）を突き合わせる</t>
        </is>
      </c>
      <c r="F40" s="16" t="inlineStr">
        <is>
          <t>-</t>
        </is>
      </c>
      <c r="G40" s="16" t="inlineStr">
        <is>
          <t>孤児レコード（Stripe側は存在するがDBに無い、または逆）がないこと</t>
        </is>
      </c>
      <c r="H40" s="16" t="inlineStr">
        <is>
          <t>customer/subscriptionの件数・状態がDBと一致していること</t>
        </is>
      </c>
      <c r="I40" s="16" t="inlineStr">
        <is>
          <t>全体テストの最終チェックとして実施</t>
        </is>
      </c>
      <c r="J40" s="10" t="inlineStr">
        <is>
          <t>未実施</t>
        </is>
      </c>
      <c r="K40" s="10" t="n"/>
      <c r="L40" s="16" t="n"/>
    </row>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autoFilter ref="A1:L40"/>
  <conditionalFormatting sqref="J2:J40">
    <cfRule type="cellIs" priority="1" operator="equal" dxfId="0">
      <formula>"OK"</formula>
    </cfRule>
    <cfRule type="cellIs" priority="2" operator="equal" dxfId="1">
      <formula>"NG"</formula>
    </cfRule>
    <cfRule type="cellIs" priority="3" operator="equal" dxfId="2">
      <formula>"一部NG"</formula>
    </cfRule>
    <cfRule type="cellIs" priority="4" operator="equal" dxfId="3">
      <formula>"未実施"</formula>
    </cfRule>
  </conditionalFormatting>
  <dataValidations count="1">
    <dataValidation sqref="J2:J40" showDropDown="0" showInputMessage="0" showErrorMessage="0" allowBlank="1" type="list">
      <formula1>"未実施,OK,NG,一部NG,対象外"</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5" customWidth="1" style="21" min="1" max="1"/>
    <col width="9" customWidth="1" style="21" min="2" max="2"/>
    <col width="12" customWidth="1" style="21" min="3" max="3"/>
    <col width="26" customWidth="1" style="21" min="4" max="4"/>
    <col width="40" customWidth="1" style="21" min="5" max="5"/>
    <col width="34" customWidth="1" style="21" min="6" max="6"/>
    <col width="30" customWidth="1" style="21" min="8" max="8"/>
    <col width="24" customWidth="1" style="21" min="9" max="9"/>
    <col width="11" customWidth="1" style="21" min="10" max="10"/>
    <col width="12" customWidth="1" style="21" min="11" max="11"/>
    <col width="26" customWidth="1" style="21" min="12" max="12"/>
    <col width="18" customWidth="1" style="21" min="13" max="13"/>
  </cols>
  <sheetData>
    <row r="1" ht="30" customHeight="1" s="21">
      <c r="A1" s="3" t="inlineStr">
        <is>
          <t>No</t>
        </is>
      </c>
      <c r="B1" s="3" t="inlineStr">
        <is>
          <t>テストID</t>
        </is>
      </c>
      <c r="C1" s="3" t="inlineStr">
        <is>
          <t>大分類</t>
        </is>
      </c>
      <c r="D1" s="3" t="inlineStr">
        <is>
          <t>前提条件</t>
        </is>
      </c>
      <c r="E1" s="3" t="inlineStr">
        <is>
          <t>テスト手順</t>
        </is>
      </c>
      <c r="F1" s="3" t="inlineStr">
        <is>
          <t>期待結果（画面表示）</t>
        </is>
      </c>
      <c r="G1" s="3" t="inlineStr">
        <is>
          <t>期待結果（DB: profile/subscription）</t>
        </is>
      </c>
      <c r="H1" s="3" t="inlineStr">
        <is>
          <t>期待結果（Stripe側）</t>
        </is>
      </c>
      <c r="I1" s="3" t="inlineStr">
        <is>
          <t>使用テストカード/備考</t>
        </is>
      </c>
      <c r="J1" s="3" t="inlineStr">
        <is>
          <t>実施結果</t>
        </is>
      </c>
      <c r="K1" s="3" t="inlineStr">
        <is>
          <t>実施日</t>
        </is>
      </c>
      <c r="L1" s="3" t="inlineStr">
        <is>
          <t>気づき・不具合メモ</t>
        </is>
      </c>
      <c r="M1" s="3" t="inlineStr">
        <is>
          <t>実施環境</t>
        </is>
      </c>
    </row>
    <row r="2" ht="90" customHeight="1" s="21">
      <c r="A2" s="10" t="n">
        <v>1</v>
      </c>
      <c r="B2" s="16" t="inlineStr">
        <is>
          <t>SU-01</t>
        </is>
      </c>
      <c r="C2" s="16" t="inlineStr">
        <is>
          <t>SU: サインアップ・決済</t>
        </is>
      </c>
      <c r="D2" s="16" t="inlineStr">
        <is>
          <t>未登録のメールアドレスを準備する。/plan または /sign-up にアクセスできる状態。</t>
        </is>
      </c>
      <c r="E2" s="16" t="inlineStr">
        <is>
          <t>1. /plan の無料プランで「無料で始める」を押す（または直接 /sign-up）
2. メールアドレス・パスワードを入力し「新規登録」を送信</t>
        </is>
      </c>
      <c r="F2" s="16" t="inlineStr">
        <is>
          <t>エラーなく /protected へ遷移する</t>
        </is>
      </c>
      <c r="G2" s="16" t="inlineStr">
        <is>
          <t>・auth.usersにユーザーが作成される
・profileにstripe_uuid/supabase_uuid/emailが登録される
・subscriptionにplan_id=フリー, price_id=null, status='active', stripe_subscription_id=nullで1行作成される</t>
        </is>
      </c>
      <c r="H2" s="16" t="inlineStr">
        <is>
          <t>Stripeに顧客(customer)が作成される（サブスクリプションは作成されない）</t>
        </is>
      </c>
      <c r="I2" s="16" t="inlineStr">
        <is>
          <t>カード入力なし</t>
        </is>
      </c>
      <c r="J2" s="10" t="inlineStr">
        <is>
          <t>未実施</t>
        </is>
      </c>
      <c r="K2" s="10" t="n"/>
      <c r="L2" s="16" t="n"/>
      <c r="M2" s="16" t="inlineStr">
        <is>
          <t>ステージング</t>
        </is>
      </c>
    </row>
    <row r="3" ht="90" customHeight="1" s="21">
      <c r="A3" s="14" t="n">
        <v>2</v>
      </c>
      <c r="B3" s="15" t="inlineStr">
        <is>
          <t>SU-02</t>
        </is>
      </c>
      <c r="C3" s="15" t="inlineStr">
        <is>
          <t>SU: サインアップ・決済</t>
        </is>
      </c>
      <c r="D3" s="15" t="inlineStr">
        <is>
          <t>未ログイン状態。有料プランがStripeテストモードのPrice IDと紐づいて登録済みであること。</t>
        </is>
      </c>
      <c r="E3" s="15" t="inlineStr">
        <is>
          <t>1. /plan にアクセス（未ログイン）
2. 任意の有料プランの「今すぐ始める」を押す
3. /sign-up へ遷移することを確認し、メール・パスワードを入力して送信
4. Stripe Checkoutページでカード情報を入力し決済</t>
        </is>
      </c>
      <c r="F3" s="15" t="inlineStr">
        <is>
          <t>決済完了後、success_url（/protected?session_id=...）へリダイレクトされる。mypageのプラン表示が選択した有料プラン名になっている</t>
        </is>
      </c>
      <c r="G3" s="15" t="inlineStr">
        <is>
          <t>・profile/subscription（フリー分）がまず作成される
・決済完了後、customer.subscription.created Webhookにより subscription 行が update され、plan_id=選択プラン, price_id, stripe_subscription_id, status='active', current_period_end, cancel_at_period_end=false になる</t>
        </is>
      </c>
      <c r="H3" s="15" t="inlineStr">
        <is>
          <t>Checkoutセッション完了、Subscriptionオブジェクトがactiveで作成される。metadata.user_idが正しく設定されていることを確認</t>
        </is>
      </c>
      <c r="I3" s="15" t="inlineStr">
        <is>
          <t>4242 4242 4242 4242（成功）／これが「planページからユーザー登録&amp;決済」の本流フロー</t>
        </is>
      </c>
      <c r="J3" s="14" t="inlineStr">
        <is>
          <t>未実施</t>
        </is>
      </c>
      <c r="K3" s="14" t="n"/>
      <c r="L3" s="15" t="n"/>
      <c r="M3" s="15" t="inlineStr">
        <is>
          <t>ステージング</t>
        </is>
      </c>
    </row>
    <row r="4" ht="90" customHeight="1" s="21">
      <c r="A4" s="10" t="n">
        <v>3</v>
      </c>
      <c r="B4" s="16" t="inlineStr">
        <is>
          <t>SU-03</t>
        </is>
      </c>
      <c r="C4" s="16" t="inlineStr">
        <is>
          <t>SU: サインアップ・決済</t>
        </is>
      </c>
      <c r="D4" s="16" t="inlineStr">
        <is>
          <t>SU-02と同じ手順の直前まで進める</t>
        </is>
      </c>
      <c r="E4" s="16" t="inlineStr">
        <is>
          <t>Checkoutページで拒否カードを入力して決済を試みる</t>
        </is>
      </c>
      <c r="F4" s="16" t="inlineStr">
        <is>
          <t>Stripe Checkout画面上にカードエラーが表示され、決済が完了しない。ユーザーはCheckout画面に留まる</t>
        </is>
      </c>
      <c r="G4" s="16" t="inlineStr">
        <is>
          <t>subscription行はフリープランのまま更新されない（Webhookが発火しないため）</t>
        </is>
      </c>
      <c r="H4" s="16" t="inlineStr">
        <is>
          <t>PaymentIntent/Charge が失敗する。Subscriptionは作成されない</t>
        </is>
      </c>
      <c r="I4" s="16" t="inlineStr">
        <is>
          <t>4000 0000 0000 0002（決済拒否）</t>
        </is>
      </c>
      <c r="J4" s="10" t="inlineStr">
        <is>
          <t>未実施</t>
        </is>
      </c>
      <c r="K4" s="10" t="n"/>
      <c r="L4" s="16" t="n"/>
      <c r="M4" s="16" t="inlineStr">
        <is>
          <t>ステージング</t>
        </is>
      </c>
    </row>
    <row r="5" ht="90" customHeight="1" s="21">
      <c r="A5" s="14" t="n">
        <v>4</v>
      </c>
      <c r="B5" s="15" t="inlineStr">
        <is>
          <t>SU-04</t>
        </is>
      </c>
      <c r="C5" s="15" t="inlineStr">
        <is>
          <t>SU: サインアップ・決済</t>
        </is>
      </c>
      <c r="D5" s="15" t="inlineStr">
        <is>
          <t>SU-02と同じ手順の直前まで進める</t>
        </is>
      </c>
      <c r="E5" s="15" t="inlineStr">
        <is>
          <t>Checkoutページで3Dセキュア認証が必要なカードを入力し、認証画面で認証を完了する</t>
        </is>
      </c>
      <c r="F5" s="15" t="inlineStr">
        <is>
          <t>追加認証（3DS）画面が表示され、認証完了後に決済が成功し /protected へ遷移する</t>
        </is>
      </c>
      <c r="G5" s="15" t="inlineStr">
        <is>
          <t>customer.subscription.created Webhookにより subscription行が正しく更新される</t>
        </is>
      </c>
      <c r="H5" s="15" t="inlineStr">
        <is>
          <t>SubscriptionがactiveでStripe上に作成される</t>
        </is>
      </c>
      <c r="I5" s="15" t="inlineStr">
        <is>
          <t>4000 0025 0000 3155（要3Dセキュア）</t>
        </is>
      </c>
      <c r="J5" s="14" t="inlineStr">
        <is>
          <t>未実施</t>
        </is>
      </c>
      <c r="K5" s="14" t="n"/>
      <c r="L5" s="15" t="n"/>
      <c r="M5" s="15" t="inlineStr">
        <is>
          <t>ステージング</t>
        </is>
      </c>
    </row>
    <row r="6" ht="90" customHeight="1" s="21">
      <c r="A6" s="10" t="n">
        <v>5</v>
      </c>
      <c r="B6" s="16" t="inlineStr">
        <is>
          <t>SU-05</t>
        </is>
      </c>
      <c r="C6" s="16" t="inlineStr">
        <is>
          <t>SU: サインアップ・決済</t>
        </is>
      </c>
      <c r="D6" s="16" t="inlineStr">
        <is>
          <t>SU-02と同じ手順の直前まで進める</t>
        </is>
      </c>
      <c r="E6" s="16" t="inlineStr">
        <is>
          <t>Checkoutページでブラウザバック、または「戻る」リンクで決済をキャンセルする</t>
        </is>
      </c>
      <c r="F6" s="16" t="inlineStr">
        <is>
          <t>cancel_urlである /plan へリダイレクトされる。エラー表示は出ない</t>
        </is>
      </c>
      <c r="G6" s="16" t="inlineStr">
        <is>
          <t>ユーザー・profile・subscription（フリー分）は作成済みのまま。有料プランへは更新されない</t>
        </is>
      </c>
      <c r="H6" s="16" t="inlineStr">
        <is>
          <t>Checkoutセッションはexpired/未完了のまま。Subscriptionは作成されない</t>
        </is>
      </c>
      <c r="I6" s="16" t="inlineStr">
        <is>
          <t>-</t>
        </is>
      </c>
      <c r="J6" s="10" t="inlineStr">
        <is>
          <t>未実施</t>
        </is>
      </c>
      <c r="K6" s="10" t="n"/>
      <c r="L6" s="16" t="n"/>
      <c r="M6" s="16" t="inlineStr">
        <is>
          <t>ステージング</t>
        </is>
      </c>
    </row>
    <row r="7" ht="90" customHeight="1" s="21">
      <c r="A7" s="14" t="n">
        <v>6</v>
      </c>
      <c r="B7" s="15" t="inlineStr">
        <is>
          <t>SU-06</t>
        </is>
      </c>
      <c r="C7" s="15" t="inlineStr">
        <is>
          <t>SU: サインアップ・決済</t>
        </is>
      </c>
      <c r="D7" s="15" t="inlineStr">
        <is>
          <t>既に登録済みのメールアドレスを用意する</t>
        </is>
      </c>
      <c r="E7" s="15" t="inlineStr">
        <is>
          <t>そのメールアドレスで /sign-up から新規登録を試みる</t>
        </is>
      </c>
      <c r="F7" s="15" t="inlineStr">
        <is>
          <t>「ユーザーはすでに存在しています。」がエラーメッセージとして表示される</t>
        </is>
      </c>
      <c r="G7" s="15" t="inlineStr">
        <is>
          <t>新しいuser/profile/subscriptionは作成されない</t>
        </is>
      </c>
      <c r="H7" s="15" t="inlineStr">
        <is>
          <t>新しいStripe顧客は作成されない</t>
        </is>
      </c>
      <c r="I7" s="15" t="inlineStr">
        <is>
          <t>-</t>
        </is>
      </c>
      <c r="J7" s="14" t="inlineStr">
        <is>
          <t>未実施</t>
        </is>
      </c>
      <c r="K7" s="14" t="n"/>
      <c r="L7" s="15" t="n"/>
      <c r="M7" s="15" t="inlineStr">
        <is>
          <t>ステージング</t>
        </is>
      </c>
    </row>
    <row r="8" ht="90" customHeight="1" s="21">
      <c r="A8" s="10" t="n">
        <v>7</v>
      </c>
      <c r="B8" s="16" t="inlineStr">
        <is>
          <t>SU-07</t>
        </is>
      </c>
      <c r="C8" s="16" t="inlineStr">
        <is>
          <t>SU: サインアップ・決済</t>
        </is>
      </c>
      <c r="D8" s="16" t="inlineStr">
        <is>
          <t>-</t>
        </is>
      </c>
      <c r="E8" s="16" t="inlineStr">
        <is>
          <t>メールアドレスまたはパスワードを空欄のまま新規登録を送信する（フロントのバリデーションを回避できる場合も想定）</t>
        </is>
      </c>
      <c r="F8" s="16" t="inlineStr">
        <is>
          <t>「メールアドレスとパスワードを入力してください。」等のエラーが表示される</t>
        </is>
      </c>
      <c r="G8" s="16" t="inlineStr">
        <is>
          <t>何も作成されない</t>
        </is>
      </c>
      <c r="H8" s="16" t="inlineStr">
        <is>
          <t>何も作成されない</t>
        </is>
      </c>
      <c r="I8" s="16" t="inlineStr">
        <is>
          <t>フォームのZodバリデーションと合わせて確認</t>
        </is>
      </c>
      <c r="J8" s="10" t="inlineStr">
        <is>
          <t>未実施</t>
        </is>
      </c>
      <c r="K8" s="10" t="n"/>
      <c r="L8" s="16" t="n"/>
      <c r="M8" s="16" t="inlineStr">
        <is>
          <t>ステージング</t>
        </is>
      </c>
    </row>
    <row r="9" ht="90" customHeight="1" s="21">
      <c r="A9" s="14" t="n">
        <v>8</v>
      </c>
      <c r="B9" s="15" t="inlineStr">
        <is>
          <t>SU-08</t>
        </is>
      </c>
      <c r="C9" s="15" t="inlineStr">
        <is>
          <t>SU: サインアップ・決済</t>
        </is>
      </c>
      <c r="D9" s="15" t="inlineStr">
        <is>
          <t>SU-01で作成したフリープランユーザーでログイン済み（＝「ユーザ作成後に決済」のケース）</t>
        </is>
      </c>
      <c r="E9" s="15" t="inlineStr">
        <is>
          <t>1. ログイン状態で /plan（もしくはmypageの「プランを変更する」を経由せず直接）へアクセス
2. 有料プランの「このプランに変更する」を押す
3. Checkoutで決済を完了する</t>
        </is>
      </c>
      <c r="F9" s="15" t="inlineStr">
        <is>
          <t>決済完了後 /protected へ遷移。mypageの現在のプランが有料プラン名に変わっている</t>
        </is>
      </c>
      <c r="G9" s="15" t="inlineStr">
        <is>
          <t>既存のsubscription行（フリー分）がcustomer.subscription.created Webhookにより有料プラン情報でupdateされる（stripe_customer_idは既存のまま流用）</t>
        </is>
      </c>
      <c r="H9" s="15" t="inlineStr">
        <is>
          <t>既存のcustomerに対してSubscriptionが新規作成される</t>
        </is>
      </c>
      <c r="I9" s="15" t="inlineStr">
        <is>
          <t>4242 4242 4242 4242</t>
        </is>
      </c>
      <c r="J9" s="14" t="inlineStr">
        <is>
          <t>未実施</t>
        </is>
      </c>
      <c r="K9" s="14" t="n"/>
      <c r="L9" s="15" t="n"/>
      <c r="M9" s="15" t="inlineStr">
        <is>
          <t>ステージング</t>
        </is>
      </c>
    </row>
    <row r="10" ht="90" customHeight="1" s="21">
      <c r="A10" s="10" t="n">
        <v>9</v>
      </c>
      <c r="B10" s="16" t="inlineStr">
        <is>
          <t>SU-09</t>
        </is>
      </c>
      <c r="C10" s="16" t="inlineStr">
        <is>
          <t>SU: サインアップ・決済</t>
        </is>
      </c>
      <c r="D10" s="16" t="inlineStr">
        <is>
          <t>SU-08と同じ前提</t>
        </is>
      </c>
      <c r="E10" s="16" t="inlineStr">
        <is>
          <t>ログイン済みユーザーが有料プラン決済を拒否カードで試みる</t>
        </is>
      </c>
      <c r="F10" s="16" t="inlineStr">
        <is>
          <t>Checkout画面でエラー表示、決済不成立</t>
        </is>
      </c>
      <c r="G10" s="16" t="inlineStr">
        <is>
          <t>subscription行は更新されない（フリーのまま）</t>
        </is>
      </c>
      <c r="H10" s="16" t="inlineStr">
        <is>
          <t>Subscriptionは作成されない</t>
        </is>
      </c>
      <c r="I10" s="16" t="inlineStr">
        <is>
          <t>4000 0000 0000 0002</t>
        </is>
      </c>
      <c r="J10" s="10" t="inlineStr">
        <is>
          <t>未実施</t>
        </is>
      </c>
      <c r="K10" s="10" t="n"/>
      <c r="L10" s="16" t="n"/>
      <c r="M10" s="16" t="inlineStr">
        <is>
          <t>ステージング</t>
        </is>
      </c>
    </row>
    <row r="11" ht="90" customHeight="1" s="21">
      <c r="A11" s="14" t="n">
        <v>10</v>
      </c>
      <c r="B11" s="15" t="inlineStr">
        <is>
          <t>SU-10</t>
        </is>
      </c>
      <c r="C11" s="15" t="inlineStr">
        <is>
          <t>SU: サインアップ・決済</t>
        </is>
      </c>
      <c r="D11" s="15" t="inlineStr">
        <is>
          <t>フリープランでログイン中。checkout()実行時にStripe API呼び出しが失敗する状況（テスト用に一時的にAPIキーを無効化する等で疑似的に再現）</t>
        </is>
      </c>
      <c r="E11" s="15" t="inlineStr">
        <is>
          <t>有料プランの「このプランに変更する」を押す</t>
        </is>
      </c>
      <c r="F11" s="15" t="inlineStr">
        <is>
          <t>「決済を開始できませんでした。時間をおいて再度お試しください。」がトースト表示される</t>
        </is>
      </c>
      <c r="G11" s="15" t="inlineStr">
        <is>
          <t>DBの状態は変化しない</t>
        </is>
      </c>
      <c r="H11" s="15" t="inlineStr">
        <is>
          <t>Checkoutセッションは作成されない</t>
        </is>
      </c>
      <c r="I11" s="15" t="inlineStr">
        <is>
          <t>疑似障害での確認。本番同様の再現が難しい場合はコードレビューで代替可</t>
        </is>
      </c>
      <c r="J11" s="14" t="inlineStr">
        <is>
          <t>未実施</t>
        </is>
      </c>
      <c r="K11" s="14" t="n"/>
      <c r="L11" s="15" t="n"/>
      <c r="M11" s="15" t="inlineStr">
        <is>
          <t>ローカル（疑似障害）</t>
        </is>
      </c>
    </row>
    <row r="12" ht="90" customHeight="1" s="21">
      <c r="A12" s="10" t="n">
        <v>11</v>
      </c>
      <c r="B12" s="16" t="inlineStr">
        <is>
          <t>SU-11</t>
        </is>
      </c>
      <c r="C12" s="16" t="inlineStr">
        <is>
          <t>SU: サインアップ・決済</t>
        </is>
      </c>
      <c r="D12" s="16" t="inlineStr">
        <is>
          <t>未ログイン状態で /sign-up を開く</t>
        </is>
      </c>
      <c r="E12" s="16" t="inlineStr">
        <is>
          <t>1. メールアドレス・パスワードを入力し、同意のチェックボックスにチェックを入れずに「新規登録」を押す
2. 「利用規約」「プライバシーポリシー」のリンクを押す
3. チェックを入れて「新規登録」を押す</t>
        </is>
      </c>
      <c r="F12" s="16" t="inlineStr">
        <is>
          <t>・1では「同意が必要です」と表示され、登録されない（チェックボックスが赤枠になる）
・2ではリンク先が別タブで開き、入力中のフォームの内容が消えない
・3では登録され /protected へ遷移する</t>
        </is>
      </c>
      <c r="G12" s="16" t="inlineStr">
        <is>
          <t>1の時点では auth.users / profile / subscription が作成されない。3で作成される</t>
        </is>
      </c>
      <c r="H12" s="16" t="inlineStr">
        <is>
          <t>1の時点では Stripe 顧客が作成されない</t>
        </is>
      </c>
      <c r="I12" s="16" t="inlineStr">
        <is>
          <t>サーバー側（signUpAction の signupSchema.safeParse）でも同意を検証している</t>
        </is>
      </c>
      <c r="J12" s="10" t="inlineStr">
        <is>
          <t>未実施</t>
        </is>
      </c>
      <c r="K12" s="10" t="n"/>
      <c r="L12" s="16" t="n"/>
      <c r="M12" s="16" t="inlineStr">
        <is>
          <t>ステージング</t>
        </is>
      </c>
    </row>
    <row r="13" ht="90" customHeight="1" s="21">
      <c r="A13" s="14" t="n">
        <v>12</v>
      </c>
      <c r="B13" s="15" t="inlineStr">
        <is>
          <t>SU-12</t>
        </is>
      </c>
      <c r="C13" s="15" t="inlineStr">
        <is>
          <t>SU: サインアップ・決済</t>
        </is>
      </c>
      <c r="D13" s="15" t="inlineStr">
        <is>
          <t>(a) 未ログイン状態で /plan を開く
(b) フリープランのユーザーでログインして /plan を開く</t>
        </is>
      </c>
      <c r="E13" s="15" t="inlineStr">
        <is>
          <t>有料プランのボタン（(a)「今すぐ始める」／(b)「このプランに変更する」）を押し、表示された確認ダイアログを確認する。いったん「キャンセル」で閉じ、もう一度開いて確定ボタンを押す</t>
        </is>
      </c>
      <c r="F13" s="15" t="inlineStr">
        <is>
          <t>・ダイアログに「料金（月額〇〇円・税込）」「お支払い（初回は申込時、以降は毎月の更新日に自動決済）」「契約期間（1か月ごとの自動更新）」「解約（マイページからいつでも可能、期間終了日まで利用可、途中解約の返金なし）」が表示される
・「利用規約」「プライバシーポリシー」のリンクが別タブで開く
・確定ボタンの文言が (a)「新規登録へ進む」／(b)「申し込む」
・キャンセルで閉じた場合は何も起きない。確定すると (a) /sign-up へ、(b) Stripe Checkout へ遷移する</t>
        </is>
      </c>
      <c r="G13" s="15" t="inlineStr">
        <is>
          <t>変化なし（確認ダイアログの表示確認）</t>
        </is>
      </c>
      <c r="H13" s="15" t="inlineStr">
        <is>
          <t>キャンセル時は Checkout セッションが作成されない</t>
        </is>
      </c>
      <c r="I13" s="15" t="inlineStr">
        <is>
          <t>特定商取引法の最終確認画面としての表示確認</t>
        </is>
      </c>
      <c r="J13" s="14" t="inlineStr">
        <is>
          <t>未実施</t>
        </is>
      </c>
      <c r="K13" s="14" t="n"/>
      <c r="L13" s="15" t="n"/>
      <c r="M13" s="15" t="inlineStr">
        <is>
          <t>ステージング</t>
        </is>
      </c>
    </row>
    <row r="14" ht="90" customHeight="1" s="21">
      <c r="A14" s="10" t="n">
        <v>13</v>
      </c>
      <c r="B14" s="16" t="inlineStr">
        <is>
          <t>SU-13</t>
        </is>
      </c>
      <c r="C14" s="16" t="inlineStr">
        <is>
          <t>SU: サインアップ・決済</t>
        </is>
      </c>
      <c r="D14" s="16" t="inlineStr">
        <is>
          <t>SU-12 (b) で「申し込む」を押し、Stripe Checkout が表示されている</t>
        </is>
      </c>
      <c r="E14" s="16" t="inlineStr">
        <is>
          <t>1. Checkout 画面の表示を確認する
2. 利用規約への同意にチェックを入れずに申し込もうとする
3. チェックを入れ、4242 4242 4242 4242 で決済する</t>
        </is>
      </c>
      <c r="F14" s="16" t="inlineStr">
        <is>
          <t>・申し込みボタンの下に、自動更新・決済のタイミング・解約方法・返金なしの文言（custom_text）が表示される
・利用規約への同意チェックボックスが表示され、未チェックでは申し込めない
・3の決済後、/protected に戻り、mypage のプランが選択した有料プランになっている</t>
        </is>
      </c>
      <c r="G14" s="16" t="inlineStr">
        <is>
          <t>3の決済後、customer.subscription.created の Webhook により subscription 行が有料プランに更新される</t>
        </is>
      </c>
      <c r="H14" s="16" t="inlineStr">
        <is>
          <t>Checkout Session の consent.terms_of_service が accepted になっている。Subscription が active で作成される</t>
        </is>
      </c>
      <c r="I14" s="16" t="inlineStr">
        <is>
          <t>利用規約のURLが Stripe の公開情報に登録されていないと Checkout セッションの作成自体がエラーになる</t>
        </is>
      </c>
      <c r="J14" s="10" t="inlineStr">
        <is>
          <t>未実施</t>
        </is>
      </c>
      <c r="K14" s="10" t="n"/>
      <c r="L14" s="16" t="n"/>
      <c r="M14" s="16" t="inlineStr">
        <is>
          <t>ステージング</t>
        </is>
      </c>
    </row>
    <row r="15" ht="90" customHeight="1" s="21">
      <c r="A15" s="14" t="n">
        <v>14</v>
      </c>
      <c r="B15" s="15" t="inlineStr">
        <is>
          <t>CH-01</t>
        </is>
      </c>
      <c r="C15" s="15" t="inlineStr">
        <is>
          <t>CH: プラン変更</t>
        </is>
      </c>
      <c r="D15" s="15" t="inlineStr">
        <is>
          <t>有料プラン契約中のユーザーでログイン</t>
        </is>
      </c>
      <c r="E15" s="15" t="inlineStr">
        <is>
          <t>mypageで「プランを変更する」を押す</t>
        </is>
      </c>
      <c r="F15" s="15" t="inlineStr">
        <is>
          <t>/plan?planname=現在のプラン名 に遷移し、現在契約中のプランのボタンがdisabled（押せない）状態になっている</t>
        </is>
      </c>
      <c r="G15" s="15" t="inlineStr">
        <is>
          <t>変化なし（画面確認のみ）</t>
        </is>
      </c>
      <c r="H15" s="15" t="inlineStr">
        <is>
          <t>変化なし</t>
        </is>
      </c>
      <c r="I15" s="15" t="inlineStr">
        <is>
          <t>-</t>
        </is>
      </c>
      <c r="J15" s="14" t="inlineStr">
        <is>
          <t>未実施</t>
        </is>
      </c>
      <c r="K15" s="14" t="n"/>
      <c r="L15" s="15" t="n"/>
      <c r="M15" s="15" t="inlineStr">
        <is>
          <t>ステージング</t>
        </is>
      </c>
    </row>
    <row r="16" ht="90" customHeight="1" s="21">
      <c r="A16" s="10" t="n">
        <v>15</v>
      </c>
      <c r="B16" s="16" t="inlineStr">
        <is>
          <t>CH-02</t>
        </is>
      </c>
      <c r="C16" s="16" t="inlineStr">
        <is>
          <t>CH: プラン変更</t>
        </is>
      </c>
      <c r="D16" s="16" t="inlineStr">
        <is>
          <t>有料プランA契約中（stripe_subscription_id保有）でログイン。プランB（上位プラン）が存在すること</t>
        </is>
      </c>
      <c r="E16" s="16" t="inlineStr">
        <is>
          <t>1. mypage→「プランを変更する」で/planへ遷移
2. プランBの「このプランに変更する」を押す</t>
        </is>
      </c>
      <c r="F16" s="16" t="inlineStr">
        <is>
          <t>処理完了後「サブスクリプションのアップグレードに成功しました」がトースト表示される。mypageのプラン表示がBに変わる</t>
        </is>
      </c>
      <c r="G16" s="16" t="inlineStr">
        <is>
          <t>customer.subscription.updated Webhookにより subscription 行が plan_id=B, price_id=B, current_period_end, cancel_at_period_end等で更新される</t>
        </is>
      </c>
      <c r="H16" s="16" t="inlineStr">
        <is>
          <t>同一Subscriptionのitemがproration_behavior=create_prorationsで即時更新される。日割り請求(Invoice)が発生していることを確認</t>
        </is>
      </c>
      <c r="I16" s="16" t="inlineStr">
        <is>
          <t>画面上でカード入力は不要（既存の支払い方法で即時課金）</t>
        </is>
      </c>
      <c r="J16" s="10" t="inlineStr">
        <is>
          <t>未実施</t>
        </is>
      </c>
      <c r="K16" s="10" t="n"/>
      <c r="L16" s="16" t="n"/>
      <c r="M16" s="16" t="inlineStr">
        <is>
          <t>ステージング</t>
        </is>
      </c>
    </row>
    <row r="17" ht="90" customHeight="1" s="21">
      <c r="A17" s="14" t="n">
        <v>16</v>
      </c>
      <c r="B17" s="15" t="inlineStr">
        <is>
          <t>CH-03</t>
        </is>
      </c>
      <c r="C17" s="15" t="inlineStr">
        <is>
          <t>CH: プラン変更</t>
        </is>
      </c>
      <c r="D17" s="15" t="inlineStr">
        <is>
          <t>有料プランB契約中でログイン。下位プランAが存在すること</t>
        </is>
      </c>
      <c r="E17" s="15" t="inlineStr">
        <is>
          <t>/plan?planname=B でプランAの「このプランに変更する」（ダウングレード）を押す</t>
        </is>
      </c>
      <c r="F17" s="15" t="inlineStr">
        <is>
          <t>「サブスクリプションのアップグレードに成功しました」表示。mypageのプラン表示がAに変わる</t>
        </is>
      </c>
      <c r="G17" s="15" t="inlineStr">
        <is>
          <t>subscription行がplan_id=A, price_id=Aへ更新される</t>
        </is>
      </c>
      <c r="H17" s="15" t="inlineStr">
        <is>
          <t>Subscription itemがAのpriceに変更され、日割りでクレジット（返金相当）が発生することを確認</t>
        </is>
      </c>
      <c r="I17" s="15" t="inlineStr">
        <is>
          <t>-</t>
        </is>
      </c>
      <c r="J17" s="14" t="inlineStr">
        <is>
          <t>未実施</t>
        </is>
      </c>
      <c r="K17" s="14" t="n"/>
      <c r="L17" s="15" t="n"/>
      <c r="M17" s="15" t="inlineStr">
        <is>
          <t>ステージング</t>
        </is>
      </c>
    </row>
    <row r="18" ht="90" customHeight="1" s="21">
      <c r="A18" s="10" t="n">
        <v>17</v>
      </c>
      <c r="B18" s="16" t="inlineStr">
        <is>
          <t>CH-04</t>
        </is>
      </c>
      <c r="C18" s="16" t="inlineStr">
        <is>
          <t>CH: プラン変更</t>
        </is>
      </c>
      <c r="D18" s="16" t="inlineStr">
        <is>
          <t>UpgradeSubscriptionが失敗する状況。次の2パターンを確認する
(a) 無効なprice_id（planテーブルに無い／is_active=false）を一時的に渡す → Stripeを呼ぶ前のプラン検証で止まる
(b) Stripe APIエラー（APIキーを一時的に無効化する等）</t>
        </is>
      </c>
      <c r="E18" s="16" t="inlineStr">
        <is>
          <t>プラン変更ボタンを押す</t>
        </is>
      </c>
      <c r="F18" s="16" t="inlineStr">
        <is>
          <t>「サブスクリプションのアップグレードに失敗しました」がトースト表示される</t>
        </is>
      </c>
      <c r="G18" s="16" t="inlineStr">
        <is>
          <t>subscription行は更新されない</t>
        </is>
      </c>
      <c r="H18" s="16" t="inlineStr">
        <is>
          <t>Subscriptionは変更されない（(a)の場合はStripe APIも呼ばれず、日割り請求も発生しない）</t>
        </is>
      </c>
      <c r="I18" s="16" t="inlineStr">
        <is>
          <t>疑似障害での確認</t>
        </is>
      </c>
      <c r="J18" s="10" t="inlineStr">
        <is>
          <t>未実施</t>
        </is>
      </c>
      <c r="K18" s="10" t="n"/>
      <c r="L18" s="16" t="n"/>
      <c r="M18" s="16" t="inlineStr">
        <is>
          <t>ローカル（疑似障害）</t>
        </is>
      </c>
    </row>
    <row r="19" ht="90" customHeight="1" s="21">
      <c r="A19" s="14" t="n">
        <v>18</v>
      </c>
      <c r="B19" s="15" t="inlineStr">
        <is>
          <t>CH-05</t>
        </is>
      </c>
      <c r="C19" s="15" t="inlineStr">
        <is>
          <t>CH: プラン変更</t>
        </is>
      </c>
      <c r="D19" s="15" t="inlineStr">
        <is>
          <t>解約予約中（cancel_at_period_end=true）の有料プランユーザーでログイン</t>
        </is>
      </c>
      <c r="E19" s="15" t="inlineStr">
        <is>
          <t>1. /plan で別の有料プランの「このプランに変更する」を押す
2. 確認ダイアログで「変更する」を押す</t>
        </is>
      </c>
      <c r="F19" s="15" t="inlineStr">
        <is>
          <t>・確認ダイアログに「現在の解約予定は取り消され、プランは継続されます。料金の差額は日割りで請求されます。」と表示される
・変更後、トーストに成功メッセージが表示され、mypageに「解約予定日」ではなく「次回の支払い：」が表示される。プラン名は新プランになる
・確認ダイアログを閉じた場合は何も変わらない</t>
        </is>
      </c>
      <c r="G19" s="15" t="inlineStr">
        <is>
          <t>subscription行が plan_id=新プラン, price_id=新プラン, cancel_at_period_end=false に更新される</t>
        </is>
      </c>
      <c r="H19" s="15" t="inlineStr">
        <is>
          <t>Subscriptionのpriceが新プランになり、cancel_at_period_end=false（解約予定が取り消される）。差額の日割り請求が作成される</t>
        </is>
      </c>
      <c r="I19" s="15" t="inlineStr">
        <is>
          <t>UpgradeSubscriptionは価格変更と cancel_at_period_end: false を1回のAPI呼び出しで送る仕様</t>
        </is>
      </c>
      <c r="J19" s="14" t="inlineStr">
        <is>
          <t>未実施</t>
        </is>
      </c>
      <c r="K19" s="14" t="n"/>
      <c r="L19" s="15" t="n"/>
      <c r="M19" s="15" t="inlineStr">
        <is>
          <t>ステージング</t>
        </is>
      </c>
    </row>
    <row r="20" ht="90" customHeight="1" s="21">
      <c r="A20" s="10" t="n">
        <v>19</v>
      </c>
      <c r="B20" s="16" t="inlineStr">
        <is>
          <t>CH-06</t>
        </is>
      </c>
      <c r="C20" s="16" t="inlineStr">
        <is>
          <t>CH: プラン変更</t>
        </is>
      </c>
      <c r="D20" s="16" t="inlineStr">
        <is>
          <t>CN-01完了後（解約予約中、cancel_at_period_end=true）</t>
        </is>
      </c>
      <c r="E20" s="16" t="inlineStr">
        <is>
          <t>1. /plan を開く
2. 現在契約中のプランの「解約を解除する」を押す</t>
        </is>
      </c>
      <c r="F20" s="16" t="inlineStr">
        <is>
          <t>・現在のプランのボタンが「解約を解除する」、フリープランのボタンが「ダウングレード予定」になっている
・押すと「サブスクリプションの再開に成功しました」が表示され、現在のプランのボタンが「現在のプラン」（押せない）に変わる</t>
        </is>
      </c>
      <c r="G20" s="16" t="inlineStr">
        <is>
          <t>subscription.cancel_at_period_end が false に更新される</t>
        </is>
      </c>
      <c r="H20" s="16" t="inlineStr">
        <is>
          <t>Subscriptionの cancel_at_period_end が false になる</t>
        </is>
      </c>
      <c r="I20" s="16" t="inlineStr">
        <is>
          <t>mypageの「解約を解除する」（RE-01）と同じ処理を /plan から実行するケース</t>
        </is>
      </c>
      <c r="J20" s="10" t="inlineStr">
        <is>
          <t>未実施</t>
        </is>
      </c>
      <c r="K20" s="10" t="n"/>
      <c r="L20" s="16" t="n"/>
      <c r="M20" s="16" t="inlineStr">
        <is>
          <t>ステージング</t>
        </is>
      </c>
    </row>
    <row r="21" ht="90" customHeight="1" s="21">
      <c r="A21" s="14" t="n">
        <v>20</v>
      </c>
      <c r="B21" s="15" t="inlineStr">
        <is>
          <t>CN-01</t>
        </is>
      </c>
      <c r="C21" s="15" t="inlineStr">
        <is>
          <t>CN: プラン解約</t>
        </is>
      </c>
      <c r="D21" s="15" t="inlineStr">
        <is>
          <t>有料プラン契約中（stripe_subscription_id保有、cancel_at_period_end=false）でログイン</t>
        </is>
      </c>
      <c r="E21" s="15" t="inlineStr">
        <is>
          <t>1. mypageで「プランを解約する」を押す
2. 確認ダイアログで「解約」を押す</t>
        </is>
      </c>
      <c r="F21" s="15" t="inlineStr">
        <is>
          <t>「サブスクリプションを解約しました」表示。mypageが「解約予定日：〇〇」表示と「解約を解除する」ボタンに切り替わる</t>
        </is>
      </c>
      <c r="G21" s="15" t="inlineStr">
        <is>
          <t>subscription.cancel_at_period_end が true に更新される（レコード自体はまだ削除されない）</t>
        </is>
      </c>
      <c r="H21" s="15" t="inlineStr">
        <is>
          <t>StripeのSubscriptionがcancel_at_period_end=trueになる（ステータスはまだactive）</t>
        </is>
      </c>
      <c r="I21" s="15" t="inlineStr">
        <is>
          <t>-</t>
        </is>
      </c>
      <c r="J21" s="14" t="inlineStr">
        <is>
          <t>未実施</t>
        </is>
      </c>
      <c r="K21" s="14" t="n"/>
      <c r="L21" s="15" t="n"/>
      <c r="M21" s="15" t="inlineStr">
        <is>
          <t>ステージング</t>
        </is>
      </c>
    </row>
    <row r="22" ht="90" customHeight="1" s="21">
      <c r="A22" s="10" t="n">
        <v>21</v>
      </c>
      <c r="B22" s="16" t="inlineStr">
        <is>
          <t>CN-02</t>
        </is>
      </c>
      <c r="C22" s="16" t="inlineStr">
        <is>
          <t>CN: プラン解約</t>
        </is>
      </c>
      <c r="D22" s="16" t="inlineStr">
        <is>
          <t>CN-01と同じ前提</t>
        </is>
      </c>
      <c r="E22" s="16" t="inlineStr">
        <is>
          <t>「プランを解約する」→確認ダイアログで「キャンセル」（閉じる）を押す</t>
        </is>
      </c>
      <c r="F22" s="16" t="inlineStr">
        <is>
          <t>画面は変化せず、通常のプラン表示のまま</t>
        </is>
      </c>
      <c r="G22" s="16" t="inlineStr">
        <is>
          <t>subscription行は変化しない</t>
        </is>
      </c>
      <c r="H22" s="16" t="inlineStr">
        <is>
          <t>Stripe側も変化しない</t>
        </is>
      </c>
      <c r="I22" s="16" t="inlineStr">
        <is>
          <t>誤操作防止の確認</t>
        </is>
      </c>
      <c r="J22" s="10" t="inlineStr">
        <is>
          <t>未実施</t>
        </is>
      </c>
      <c r="K22" s="10" t="n"/>
      <c r="L22" s="16" t="n"/>
      <c r="M22" s="16" t="inlineStr">
        <is>
          <t>ステージング</t>
        </is>
      </c>
    </row>
    <row r="23" ht="90" customHeight="1" s="21">
      <c r="A23" s="14" t="n">
        <v>22</v>
      </c>
      <c r="B23" s="15" t="inlineStr">
        <is>
          <t>CN-03</t>
        </is>
      </c>
      <c r="C23" s="15" t="inlineStr">
        <is>
          <t>CN: プラン解約</t>
        </is>
      </c>
      <c r="D23" s="15" t="inlineStr">
        <is>
          <t>Unsubscription呼び出し時にStripe APIエラーが起きる状況（無効なstripe_subscription_idを一時的にセットする等）</t>
        </is>
      </c>
      <c r="E23" s="15" t="inlineStr">
        <is>
          <t>解約を実行する</t>
        </is>
      </c>
      <c r="F23" s="15" t="inlineStr">
        <is>
          <t>「サブスクリプションの解約に失敗しました」がトースト表示される</t>
        </is>
      </c>
      <c r="G23" s="15" t="inlineStr">
        <is>
          <t>subscription行は更新されない</t>
        </is>
      </c>
      <c r="H23" s="15" t="inlineStr">
        <is>
          <t>Stripe側も変化しない</t>
        </is>
      </c>
      <c r="I23" s="15" t="inlineStr">
        <is>
          <t>疑似障害での確認</t>
        </is>
      </c>
      <c r="J23" s="14" t="inlineStr">
        <is>
          <t>未実施</t>
        </is>
      </c>
      <c r="K23" s="14" t="n"/>
      <c r="L23" s="15" t="n"/>
      <c r="M23" s="15" t="inlineStr">
        <is>
          <t>ローカル（疑似障害）</t>
        </is>
      </c>
    </row>
    <row r="24" ht="90" customHeight="1" s="21">
      <c r="A24" s="10" t="n">
        <v>23</v>
      </c>
      <c r="B24" s="16" t="inlineStr">
        <is>
          <t>CN-04</t>
        </is>
      </c>
      <c r="C24" s="16" t="inlineStr">
        <is>
          <t>CN: プラン解約</t>
        </is>
      </c>
      <c r="D24" s="16" t="inlineStr">
        <is>
          <t>CN-01完了後（cancel_at_period_end=trueの状態）</t>
        </is>
      </c>
      <c r="E24" s="16" t="inlineStr">
        <is>
          <t>１.（ステージングでは stripe listen は不要。Webhookはサンドボックスのエンドポイント経由でステージングに直接届く）
２.次のどちらかで解約を確定させる
　・Test Clocks で、期間終了より後まで時間を進める（本来の流れ）
　・Stripe ダッシュボード（サンドボックス）で、該当するサブスクを「今すぐキャンセル」する（簡易確認）
※ stripe trigger customer.subscription.deleted は DB の行と紐付かないため、代わりの手段にはならない</t>
        </is>
      </c>
      <c r="F24" s="16" t="inlineStr">
        <is>
          <t>・mypage の現在のプランがフリープランの名前になる。「次回の支払い：支払いなし」と表示され、「プランを解約する」ボタンが表示されない
・/plan ではフリープランが「現在のプラン」、有料プランが「このプランに変更する」になる
・台本がフリープランの上限より多い場合、作成日が新しい順に上限数までが使え、残りはロック表示になる（削除だけできる）</t>
        </is>
      </c>
      <c r="G24" s="16" t="inlineStr">
        <is>
          <t>subscription の行がフリープランに更新される
plan_id=フリー、stripe_subscription_id / price_id / current_period_end=null、cancel_at_period_end=false</t>
        </is>
      </c>
      <c r="H24" s="16" t="inlineStr">
        <is>
          <t>Stripe の Subscription が status='canceled' になる</t>
        </is>
      </c>
      <c r="I24" s="16" t="inlineStr">
        <is>
          <t>期間の経過をともなう、本来の解約確定の流れ。Test Clocks を使わない場合は、ダッシュボードの「今すぐキャンセル」で代わりに確認する</t>
        </is>
      </c>
      <c r="J24" s="10" t="inlineStr">
        <is>
          <t>未実施</t>
        </is>
      </c>
      <c r="K24" s="10" t="n"/>
      <c r="L24" s="16" t="n"/>
      <c r="M24" s="16" t="inlineStr">
        <is>
          <t>ステージング</t>
        </is>
      </c>
    </row>
    <row r="25" ht="90" customHeight="1" s="21">
      <c r="A25" s="14" t="n">
        <v>24</v>
      </c>
      <c r="B25" s="15" t="inlineStr">
        <is>
          <t>RE-01</t>
        </is>
      </c>
      <c r="C25" s="15" t="inlineStr">
        <is>
          <t>RE: プラン再契約</t>
        </is>
      </c>
      <c r="D25" s="15" t="inlineStr">
        <is>
          <t>CN-01完了後（解約予約中、cancel_at_period_end=true、まだ契約期間内）</t>
        </is>
      </c>
      <c r="E25" s="15" t="inlineStr">
        <is>
          <t>mypageで「解約を解除する」を押す</t>
        </is>
      </c>
      <c r="F25" s="15" t="inlineStr">
        <is>
          <t>「サブスクリプションの再開に成功しました」表示。「解約予定日」表示が消え、通常の「次回の支払い：」表示に戻る</t>
        </is>
      </c>
      <c r="G25" s="15" t="inlineStr">
        <is>
          <t>subscription.cancel_at_period_endがfalseに更新される</t>
        </is>
      </c>
      <c r="H25" s="15" t="inlineStr">
        <is>
          <t>StripeのSubscriptionのcancel_at_period_endがfalseに戻る（Subscription自体は継続していたので新規決済は発生しない）</t>
        </is>
      </c>
      <c r="I25" s="15" t="inlineStr">
        <is>
          <t>-</t>
        </is>
      </c>
      <c r="J25" s="14" t="inlineStr">
        <is>
          <t>未実施</t>
        </is>
      </c>
      <c r="K25" s="14" t="n"/>
      <c r="L25" s="15" t="n"/>
      <c r="M25" s="15" t="inlineStr">
        <is>
          <t>ステージング</t>
        </is>
      </c>
    </row>
    <row r="26" ht="90" customHeight="1" s="21">
      <c r="A26" s="10" t="n">
        <v>25</v>
      </c>
      <c r="B26" s="16" t="inlineStr">
        <is>
          <t>RE-02</t>
        </is>
      </c>
      <c r="C26" s="16" t="inlineStr">
        <is>
          <t>RE: プラン再契約</t>
        </is>
      </c>
      <c r="D26" s="16" t="inlineStr">
        <is>
          <t>ReactivateSubscription呼び出し時にStripe APIエラーが起きる状況</t>
        </is>
      </c>
      <c r="E26" s="16" t="inlineStr">
        <is>
          <t>「解約を解除する」を押す</t>
        </is>
      </c>
      <c r="F26" s="16" t="inlineStr">
        <is>
          <t>「サブスクリプションの再開に失敗しました」表示</t>
        </is>
      </c>
      <c r="G26" s="16" t="inlineStr">
        <is>
          <t>subscription行は更新されない</t>
        </is>
      </c>
      <c r="H26" s="16" t="inlineStr">
        <is>
          <t>Stripe側も変化しない</t>
        </is>
      </c>
      <c r="I26" s="16" t="inlineStr">
        <is>
          <t>疑似障害での確認</t>
        </is>
      </c>
      <c r="J26" s="10" t="inlineStr">
        <is>
          <t>未実施</t>
        </is>
      </c>
      <c r="K26" s="10" t="n"/>
      <c r="L26" s="16" t="n"/>
      <c r="M26" s="16" t="inlineStr">
        <is>
          <t>ローカル（疑似障害）</t>
        </is>
      </c>
    </row>
    <row r="27" ht="90" customHeight="1" s="21">
      <c r="A27" s="14" t="n">
        <v>26</v>
      </c>
      <c r="B27" s="15" t="inlineStr">
        <is>
          <t>RE-03</t>
        </is>
      </c>
      <c r="C27" s="15" t="inlineStr">
        <is>
          <t>RE: プラン再契約</t>
        </is>
      </c>
      <c r="D27" s="15" t="inlineStr">
        <is>
          <t>CN-04 が完了し、subscription の行がフリープランに戻ったユーザー（stripe_subscription_id=null）でログインしている</t>
        </is>
      </c>
      <c r="E27" s="15" t="inlineStr">
        <is>
          <t>1. mypage の「プランを変更する」、または /plan から、有料プランの「このプランに変更する」を押し、Checkout で決済する
2. 決済が終わったら、DB と Stripe を確認する</t>
        </is>
      </c>
      <c r="F27" s="15" t="inlineStr">
        <is>
          <t>決済完了後 /protected に戻り、mypageのプラン表示が新しい有料プラン名になっている</t>
        </is>
      </c>
      <c r="G27" s="15" t="inlineStr">
        <is>
          <t>★確認ポイント：customer.subscription.created の Webhook によって、既存の subscription の行が update され、plan_id=選んだプラン、price_id、stripe_subscription_id=新しい ID、status='active'、current_period_end、cancel_at_period_end=false になる</t>
        </is>
      </c>
      <c r="H27" s="15" t="inlineStr">
        <is>
          <t>既存customerに対して新しいSubscriptionが作成される</t>
        </is>
      </c>
      <c r="I27" s="15" t="inlineStr">
        <is>
          <t>解約が確定したあとの再契約の流れ。新しい Stripe Subscription が同じ customer に作られ、DB の行が更新されることを確認する</t>
        </is>
      </c>
      <c r="J27" s="14" t="inlineStr">
        <is>
          <t>未実施</t>
        </is>
      </c>
      <c r="K27" s="14" t="n"/>
      <c r="L27" s="15" t="n"/>
      <c r="M27" s="15" t="inlineStr">
        <is>
          <t>ステージング</t>
        </is>
      </c>
    </row>
    <row r="28" ht="90" customHeight="1" s="21">
      <c r="A28" s="10" t="n">
        <v>27</v>
      </c>
      <c r="B28" s="16" t="inlineStr">
        <is>
          <t>RE-04</t>
        </is>
      </c>
      <c r="C28" s="16" t="inlineStr">
        <is>
          <t>RE: プラン再契約</t>
        </is>
      </c>
      <c r="D28" s="16" t="inlineStr">
        <is>
          <t>RE-01またはRE-03完了直後</t>
        </is>
      </c>
      <c r="E28" s="16" t="inlineStr">
        <is>
          <t>mypageのプラン情報（現在のプラン名、次回支払い日、台本数上限）を確認する</t>
        </is>
      </c>
      <c r="F28" s="16" t="inlineStr">
        <is>
          <t>契約中のプラン名・次回支払日（current_period_end）・max_scriptsが正しい値で表示されている</t>
        </is>
      </c>
      <c r="G28" s="16" t="inlineStr">
        <is>
          <t>subscriptionとplanのjoin結果（userPlan）が最新の状態になっている</t>
        </is>
      </c>
      <c r="H28" s="16" t="inlineStr">
        <is>
          <t>Stripeダッシュボードの請求情報と日時が一致している（日本時間表記であることも確認）</t>
        </is>
      </c>
      <c r="I28" s="16" t="inlineStr">
        <is>
          <t>-</t>
        </is>
      </c>
      <c r="J28" s="10" t="inlineStr">
        <is>
          <t>未実施</t>
        </is>
      </c>
      <c r="K28" s="10" t="n"/>
      <c r="L28" s="16" t="n"/>
      <c r="M28" s="16" t="inlineStr">
        <is>
          <t>ステージング</t>
        </is>
      </c>
    </row>
    <row r="29" ht="90" customHeight="1" s="21">
      <c r="A29" s="14" t="n">
        <v>28</v>
      </c>
      <c r="B29" s="15" t="inlineStr">
        <is>
          <t>LK-01</t>
        </is>
      </c>
      <c r="C29" s="15" t="inlineStr">
        <is>
          <t>LK: 台本上限・ロック</t>
        </is>
      </c>
      <c r="D29" s="15" t="inlineStr">
        <is>
          <t>有料プランで、フリープランの上限（max_scripts）より多い台本を作成済み。CN-04で解約を確定させた（または下位プランに変更した）直後</t>
        </is>
      </c>
      <c r="E29" s="15" t="inlineStr">
        <is>
          <t>台本一覧（/protected）を開く</t>
        </is>
      </c>
      <c r="F29" s="15" t="inlineStr">
        <is>
          <t>・作成日が新しい順に上限数までの台本は通常表示
・それより古い台本は薄く表示され、鍵アイコンと「プランをアップグレード」「削除」ボタンだけが表示される（編集・プロンプター表示・タイトル変更はできない）</t>
        </is>
      </c>
      <c r="G29" s="15" t="inlineStr">
        <is>
          <t>script行は削除・変更されない（ロックは表示時に計算するだけでDBには持たない）</t>
        </is>
      </c>
      <c r="H29" s="15" t="inlineStr">
        <is>
          <t>-</t>
        </is>
      </c>
      <c r="I29" s="15" t="inlineStr">
        <is>
          <t>作成日（inserted_at）が新しい順に有効になる。更新日ではない点に注意</t>
        </is>
      </c>
      <c r="J29" s="14" t="inlineStr">
        <is>
          <t>未実施</t>
        </is>
      </c>
      <c r="K29" s="14" t="n"/>
      <c r="L29" s="15" t="n"/>
      <c r="M29" s="15" t="inlineStr">
        <is>
          <t>ステージング</t>
        </is>
      </c>
    </row>
    <row r="30" ht="90" customHeight="1" s="21">
      <c r="A30" s="10" t="n">
        <v>29</v>
      </c>
      <c r="B30" s="16" t="inlineStr">
        <is>
          <t>LK-02</t>
        </is>
      </c>
      <c r="C30" s="16" t="inlineStr">
        <is>
          <t>LK: 台本上限・ロック</t>
        </is>
      </c>
      <c r="D30" s="16" t="inlineStr">
        <is>
          <t>LK-01の状態</t>
        </is>
      </c>
      <c r="E30" s="16" t="inlineStr">
        <is>
          <t>1. ロック中の台本のIDを控え、/protected/script/edit/{id} を直接開く
2. /protected/script/prompter/{id} を直接開く</t>
        </is>
      </c>
      <c r="F30" s="16" t="inlineStr">
        <is>
          <t>どちらも「この台本はロックされています。上位プランにアップデートしてください。」が表示され、台本の内容は表示されない</t>
        </is>
      </c>
      <c r="G30" s="16" t="inlineStr">
        <is>
          <t>変化なし</t>
        </is>
      </c>
      <c r="H30" s="16" t="inlineStr">
        <is>
          <t>-</t>
        </is>
      </c>
      <c r="I30" s="16" t="inlineStr">
        <is>
          <t>サーバー側（getEditScript）での拒否の確認。editScript／editScriptNameもロック中は更新を拒否する</t>
        </is>
      </c>
      <c r="J30" s="10" t="inlineStr">
        <is>
          <t>未実施</t>
        </is>
      </c>
      <c r="K30" s="10" t="n"/>
      <c r="L30" s="16" t="n"/>
      <c r="M30" s="16" t="inlineStr">
        <is>
          <t>ステージング</t>
        </is>
      </c>
    </row>
    <row r="31" ht="90" customHeight="1" s="21">
      <c r="A31" s="14" t="n">
        <v>30</v>
      </c>
      <c r="B31" s="15" t="inlineStr">
        <is>
          <t>LK-03</t>
        </is>
      </c>
      <c r="C31" s="15" t="inlineStr">
        <is>
          <t>LK: 台本上限・ロック</t>
        </is>
      </c>
      <c r="D31" s="15" t="inlineStr">
        <is>
          <t>LK-01の状態</t>
        </is>
      </c>
      <c r="E31" s="15" t="inlineStr">
        <is>
          <t>使える状態（ロックされていない）の台本を1件削除する</t>
        </is>
      </c>
      <c r="F31" s="15" t="inlineStr">
        <is>
          <t>ロック中だった台本のうち、作成日が一番新しい1件のロックが外れ、通常表示になる</t>
        </is>
      </c>
      <c r="G31" s="15" t="inlineStr">
        <is>
          <t>削除した台本の行だけが削除される</t>
        </is>
      </c>
      <c r="H31" s="15" t="inlineStr">
        <is>
          <t>-</t>
        </is>
      </c>
      <c r="I31" s="15" t="inlineStr">
        <is>
          <t>-</t>
        </is>
      </c>
      <c r="J31" s="14" t="inlineStr">
        <is>
          <t>未実施</t>
        </is>
      </c>
      <c r="K31" s="14" t="n"/>
      <c r="L31" s="15" t="n"/>
      <c r="M31" s="15" t="inlineStr">
        <is>
          <t>ステージング</t>
        </is>
      </c>
    </row>
    <row r="32" ht="90" customHeight="1" s="21">
      <c r="A32" s="10" t="n">
        <v>31</v>
      </c>
      <c r="B32" s="16" t="inlineStr">
        <is>
          <t>LK-04</t>
        </is>
      </c>
      <c r="C32" s="16" t="inlineStr">
        <is>
          <t>LK: 台本上限・ロック</t>
        </is>
      </c>
      <c r="D32" s="16" t="inlineStr">
        <is>
          <t>LK-01の状態</t>
        </is>
      </c>
      <c r="E32" s="16" t="inlineStr">
        <is>
          <t>/plan から有料プランに再契約する（RE-03の手順）</t>
        </is>
      </c>
      <c r="F32" s="16" t="inlineStr">
        <is>
          <t>上限が上がり、ロック中だった台本が通常表示に戻る（無制限プランなら全件）。編集・プロンプター表示ができる</t>
        </is>
      </c>
      <c r="G32" s="16" t="inlineStr">
        <is>
          <t>script行は変化しない（ロック情報はDBに持たないため）</t>
        </is>
      </c>
      <c r="H32" s="16" t="inlineStr">
        <is>
          <t>-</t>
        </is>
      </c>
      <c r="I32" s="16" t="inlineStr">
        <is>
          <t>-</t>
        </is>
      </c>
      <c r="J32" s="10" t="inlineStr">
        <is>
          <t>未実施</t>
        </is>
      </c>
      <c r="K32" s="10" t="n"/>
      <c r="L32" s="16" t="n"/>
      <c r="M32" s="16" t="inlineStr">
        <is>
          <t>ステージング</t>
        </is>
      </c>
    </row>
    <row r="33" ht="90" customHeight="1" s="21">
      <c r="A33" s="14" t="n">
        <v>32</v>
      </c>
      <c r="B33" s="15" t="inlineStr">
        <is>
          <t>LK-05</t>
        </is>
      </c>
      <c r="C33" s="15" t="inlineStr">
        <is>
          <t>LK: 台本上限・ロック</t>
        </is>
      </c>
      <c r="D33" s="15" t="inlineStr">
        <is>
          <t>フリープランで、台本数が上限（max_scripts）に達している</t>
        </is>
      </c>
      <c r="E33" s="15" t="inlineStr">
        <is>
          <t>1. 台本一覧（/protected）を開く
2. （任意）createScriptを直接実行する等で作成を試みる</t>
        </is>
      </c>
      <c r="F33" s="15" t="inlineStr">
        <is>
          <t>・「新規作成」ボタンの代わりに「プランをアップグレード」ボタンと上限到達の案内文が表示される
・createScriptを直接実行した場合は「台本の作成上限に達しています。プランをアップグレードしてください。」が返る</t>
        </is>
      </c>
      <c r="G33" s="15" t="inlineStr">
        <is>
          <t>RLSによりscript行は追加されない（エラーコード42501）</t>
        </is>
      </c>
      <c r="H33" s="15" t="inlineStr">
        <is>
          <t>-</t>
        </is>
      </c>
      <c r="I33" s="15" t="inlineStr">
        <is>
          <t>作成上限はSupabaseのRLSで制御している</t>
        </is>
      </c>
      <c r="J33" s="14" t="inlineStr">
        <is>
          <t>未実施</t>
        </is>
      </c>
      <c r="K33" s="14" t="n"/>
      <c r="L33" s="15" t="n"/>
      <c r="M33" s="15" t="inlineStr">
        <is>
          <t>ステージング</t>
        </is>
      </c>
    </row>
    <row r="34" ht="90" customHeight="1" s="21">
      <c r="A34" s="10" t="n">
        <v>33</v>
      </c>
      <c r="B34" s="16" t="inlineStr">
        <is>
          <t>DL-01</t>
        </is>
      </c>
      <c r="C34" s="16" t="inlineStr">
        <is>
          <t>DL: ユーザー削除</t>
        </is>
      </c>
      <c r="D34" s="16" t="inlineStr">
        <is>
          <t>有料プラン契約中（アクティブなStripe Subscriptionあり）のユーザーでログイン</t>
        </is>
      </c>
      <c r="E34" s="16" t="inlineStr">
        <is>
          <t>1. mypageの「アカウント削除」を押す
2. 確認ダイアログで削除を確定する</t>
        </is>
      </c>
      <c r="F34" s="16" t="inlineStr">
        <is>
          <t>処理完了後、サインアウトされ「/」（トップページ）へリダイレクトされる</t>
        </is>
      </c>
      <c r="G34" s="16" t="inlineStr">
        <is>
          <t>profile行・subscription行・script行（台本）がON DELETE CASCADEで削除される。Supabase Authのユーザーも削除される（管理画面/管理APIで確認）</t>
        </is>
      </c>
      <c r="H34" s="16" t="inlineStr">
        <is>
          <t>Stripeの顧客(customer)が削除される。顧客削除に伴い紐づくSubscriptionもcanceledになることを確認する</t>
        </is>
      </c>
      <c r="I34" s="16" t="inlineStr">
        <is>
          <t>-</t>
        </is>
      </c>
      <c r="J34" s="10" t="inlineStr">
        <is>
          <t>未実施</t>
        </is>
      </c>
      <c r="K34" s="10" t="n"/>
      <c r="L34" s="16" t="n"/>
      <c r="M34" s="16" t="inlineStr">
        <is>
          <t>ステージング</t>
        </is>
      </c>
    </row>
    <row r="35" ht="90" customHeight="1" s="21">
      <c r="A35" s="14" t="n">
        <v>34</v>
      </c>
      <c r="B35" s="15" t="inlineStr">
        <is>
          <t>DL-02</t>
        </is>
      </c>
      <c r="C35" s="15" t="inlineStr">
        <is>
          <t>DL: ユーザー削除</t>
        </is>
      </c>
      <c r="D35" s="15" t="inlineStr">
        <is>
          <t>フリープランのまま（一度も決済していない）ユーザーでログイン</t>
        </is>
      </c>
      <c r="E35" s="15" t="inlineStr">
        <is>
          <t>アカウント削除を実行する</t>
        </is>
      </c>
      <c r="F35" s="15" t="inlineStr">
        <is>
          <t>DL-01と同様に削除・リダイレクトされる</t>
        </is>
      </c>
      <c r="G35" s="15" t="inlineStr">
        <is>
          <t>profile行・subscription行・script行（台本）がON DELETE CASCADEで削除される。Supabase Authのユーザーも削除される（管理画面/管理APIで確認）</t>
        </is>
      </c>
      <c r="H35" s="15" t="inlineStr">
        <is>
          <t>Stripe顧客（サブスクリプションなし）が削除される</t>
        </is>
      </c>
      <c r="I35" s="15" t="inlineStr">
        <is>
          <t>-</t>
        </is>
      </c>
      <c r="J35" s="14" t="inlineStr">
        <is>
          <t>未実施</t>
        </is>
      </c>
      <c r="K35" s="14" t="n"/>
      <c r="L35" s="15" t="n"/>
      <c r="M35" s="15" t="inlineStr">
        <is>
          <t>ステージング</t>
        </is>
      </c>
    </row>
    <row r="36" ht="90" customHeight="1" s="21">
      <c r="A36" s="10" t="n">
        <v>35</v>
      </c>
      <c r="B36" s="16" t="inlineStr">
        <is>
          <t>DL-03</t>
        </is>
      </c>
      <c r="C36" s="16" t="inlineStr">
        <is>
          <t>DL: ユーザー削除</t>
        </is>
      </c>
      <c r="D36" s="16" t="inlineStr">
        <is>
          <t>任意のログイン中ユーザー</t>
        </is>
      </c>
      <c r="E36" s="16" t="inlineStr">
        <is>
          <t>「アカウント削除」→確認ダイアログで「キャンセル」を押す</t>
        </is>
      </c>
      <c r="F36" s="16" t="inlineStr">
        <is>
          <t>何も起きず、mypage画面に留まる</t>
        </is>
      </c>
      <c r="G36" s="16" t="inlineStr">
        <is>
          <t>変化なし</t>
        </is>
      </c>
      <c r="H36" s="16" t="inlineStr">
        <is>
          <t>変化なし</t>
        </is>
      </c>
      <c r="I36" s="16" t="inlineStr">
        <is>
          <t>誤操作防止の確認</t>
        </is>
      </c>
      <c r="J36" s="10" t="inlineStr">
        <is>
          <t>未実施</t>
        </is>
      </c>
      <c r="K36" s="10" t="n"/>
      <c r="L36" s="16" t="n"/>
      <c r="M36" s="16" t="inlineStr">
        <is>
          <t>ステージング</t>
        </is>
      </c>
    </row>
    <row r="37" ht="90" customHeight="1" s="21">
      <c r="A37" s="14" t="n">
        <v>36</v>
      </c>
      <c r="B37" s="15" t="inlineStr">
        <is>
          <t>DL-04</t>
        </is>
      </c>
      <c r="C37" s="15" t="inlineStr">
        <is>
          <t>DL: ユーザー削除</t>
        </is>
      </c>
      <c r="D37" s="15" t="inlineStr">
        <is>
          <t>次のいずれかを疑似的に再現する
(a) ログインユーザー情報（getUserInfo）が取得できない
(b) Stripeの顧客削除APIがresource_missing以外のエラーで失敗する（APIキーを一時的に無効化する等）</t>
        </is>
      </c>
      <c r="E37" s="15" t="inlineStr">
        <is>
          <t>アカウント削除を実行する</t>
        </is>
      </c>
      <c r="F37" s="15" t="inlineStr">
        <is>
          <t>「ユーザー削除に失敗しました。しばらくしてからもう一度お試しください。」が表示される</t>
        </is>
      </c>
      <c r="G37" s="15" t="inlineStr">
        <is>
          <t>Authユーザー・profile・subscription・scriptのいずれも削除されない</t>
        </is>
      </c>
      <c r="H37" s="15" t="inlineStr">
        <is>
          <t>Stripe顧客が削除されない。Stripe顧客が残ったままAuthユーザーだけ消える不整合が起きていないこと</t>
        </is>
      </c>
      <c r="I37" s="15" t="inlineStr">
        <is>
          <t>Stripe顧客の削除に失敗した場合はAuthユーザーを削除しない（課金だけ残る事故を防ぐ）仕様の確認</t>
        </is>
      </c>
      <c r="J37" s="14" t="inlineStr">
        <is>
          <t>未実施</t>
        </is>
      </c>
      <c r="K37" s="14" t="n"/>
      <c r="L37" s="15" t="n"/>
      <c r="M37" s="15" t="inlineStr">
        <is>
          <t>ローカル（疑似障害）</t>
        </is>
      </c>
    </row>
    <row r="38" ht="90" customHeight="1" s="21">
      <c r="A38" s="10" t="n">
        <v>37</v>
      </c>
      <c r="B38" s="16" t="inlineStr">
        <is>
          <t>DL-05</t>
        </is>
      </c>
      <c r="C38" s="16" t="inlineStr">
        <is>
          <t>DL: ユーザー削除</t>
        </is>
      </c>
      <c r="D38" s="16" t="inlineStr">
        <is>
          <t>DL-01またはDL-02で削除済みのメールアドレス</t>
        </is>
      </c>
      <c r="E38" s="16" t="inlineStr">
        <is>
          <t>同じメールアドレス・任意のパスワードで /sign-up から再登録する</t>
        </is>
      </c>
      <c r="F38" s="16" t="inlineStr">
        <is>
          <t>「ユーザーはすでに存在しています。」等のエラーにならず、新規登録が正常に完了する</t>
        </is>
      </c>
      <c r="G38" s="16" t="inlineStr">
        <is>
          <t>新しいuser_idでprofile/subscriptionが新規作成される（古いデータの残存がないこと）</t>
        </is>
      </c>
      <c r="H38" s="16" t="inlineStr">
        <is>
          <t>新しいStripe顧客が作成される（削除前の顧客IDと重複しないこと）</t>
        </is>
      </c>
      <c r="I38" s="16" t="inlineStr">
        <is>
          <t>アカウント削除の完全性を確認する重要ケース</t>
        </is>
      </c>
      <c r="J38" s="10" t="inlineStr">
        <is>
          <t>未実施</t>
        </is>
      </c>
      <c r="K38" s="10" t="n"/>
      <c r="L38" s="16" t="n"/>
      <c r="M38" s="16" t="inlineStr">
        <is>
          <t>ステージング</t>
        </is>
      </c>
    </row>
    <row r="39" ht="90" customHeight="1" s="21">
      <c r="A39" s="14" t="n">
        <v>38</v>
      </c>
      <c r="B39" s="15" t="inlineStr">
        <is>
          <t>DL-06</t>
        </is>
      </c>
      <c r="C39" s="15" t="inlineStr">
        <is>
          <t>DL: ユーザー削除</t>
        </is>
      </c>
      <c r="D39" s="15" t="inlineStr">
        <is>
          <t>Stripeダッシュボードで、対象ユーザーのStripe顧客だけを先に削除しておく（前回のアカウント削除がAuthユーザー削除の手前で失敗した状態を再現）</t>
        </is>
      </c>
      <c r="E39" s="15" t="inlineStr">
        <is>
          <t>mypageからアカウント削除を実行する</t>
        </is>
      </c>
      <c r="F39" s="15" t="inlineStr">
        <is>
          <t>エラーにならず、サインアウトされて「/」へリダイレクトされる</t>
        </is>
      </c>
      <c r="G39" s="15" t="inlineStr">
        <is>
          <t>Authユーザー・profile・subscription・scriptが削除される</t>
        </is>
      </c>
      <c r="H39" s="15" t="inlineStr">
        <is>
          <t>顧客は削除済みのまま（resource_missingエラーが返るが成功扱いになる）</t>
        </is>
      </c>
      <c r="I39" s="15" t="inlineStr">
        <is>
          <t>Stripe顧客の削除済み（resource_missing）を成功扱いにして、アカウント削除を再実行できることの確認</t>
        </is>
      </c>
      <c r="J39" s="14" t="inlineStr">
        <is>
          <t>未実施</t>
        </is>
      </c>
      <c r="K39" s="14" t="n"/>
      <c r="L39" s="15" t="n"/>
      <c r="M39" s="15" t="inlineStr">
        <is>
          <t>ステージング</t>
        </is>
      </c>
    </row>
    <row r="40" ht="90" customHeight="1" s="21">
      <c r="A40" s="10" t="n">
        <v>39</v>
      </c>
      <c r="B40" s="16" t="inlineStr">
        <is>
          <t>WH-01</t>
        </is>
      </c>
      <c r="C40" s="16" t="inlineStr">
        <is>
          <t>WH: Webhook確認</t>
        </is>
      </c>
      <c r="D40" s="16" t="inlineStr">
        <is>
          <t>ステージング環境（devブランチ）がデプロイ済み。Stripeサンドボックスに Webhook エンドポイントを登録済み</t>
        </is>
      </c>
      <c r="E40" s="16" t="inlineStr">
        <is>
          <t>1. Stripeダッシュボード（サンドボックス）→ Webhook でエンドポイントを確認する
   URL：https://&lt;ステージングのURL&gt;/api/stripe/webhook?x-vercel-protection-bypass=&lt;シークレット&gt;
2. 受信イベント（checkout.session.completed / customer.subscription.created・updated・deleted / invoice.payment_succeeded・failed）が選択されているか確認する
3. 署名シークレットが Vercel の Preview（dev）の STRIPE_WEBHOOK_SECRET と一致しているか確認する</t>
        </is>
      </c>
      <c r="F40" s="16" t="inlineStr">
        <is>
          <t>-</t>
        </is>
      </c>
      <c r="G40" s="16" t="inlineStr">
        <is>
          <t>-</t>
        </is>
      </c>
      <c r="H40" s="16" t="inlineStr">
        <is>
          <t>決済系テストを行った後、イベントの送信結果が 200 になっている（401 の場合は Deployment Protection のバイパス設定、400 の場合は署名シークレットを確認）</t>
        </is>
      </c>
      <c r="I40" s="16" t="inlineStr">
        <is>
          <t>全ての決済系テストの前提作業（ステージング用）。ローカルでの確認は「テストケース一覧」シートの WH-01 を参照</t>
        </is>
      </c>
      <c r="J40" s="10" t="inlineStr">
        <is>
          <t>未実施</t>
        </is>
      </c>
      <c r="K40" s="10" t="n"/>
      <c r="L40" s="16" t="n"/>
      <c r="M40" s="16" t="inlineStr">
        <is>
          <t>ステージング</t>
        </is>
      </c>
    </row>
    <row r="41" ht="90" customHeight="1" s="21">
      <c r="A41" s="14" t="n">
        <v>40</v>
      </c>
      <c r="B41" s="15" t="inlineStr">
        <is>
          <t>WH-02</t>
        </is>
      </c>
      <c r="C41" s="15" t="inlineStr">
        <is>
          <t>WH: Webhook確認</t>
        </is>
      </c>
      <c r="D41" s="15" t="inlineStr">
        <is>
          <t>WH-01の設定完了後、SU-02等で決済操作を行う</t>
        </is>
      </c>
      <c r="E41" s="15" t="inlineStr">
        <is>
          <t>サーバーログ（コンソール）を確認する</t>
        </is>
      </c>
      <c r="F41" s="15" t="inlineStr">
        <is>
          <t>-</t>
        </is>
      </c>
      <c r="G41" s="15" t="inlineStr">
        <is>
          <t>-</t>
        </is>
      </c>
      <c r="H41" s="15" t="inlineStr">
        <is>
          <t>checkout.session.completed / customer.subscription.created / customer.subscription.updated / customer.subscription.deleted / invoice.payment_succeeded / invoice.payment_failed の各イベントが想定通りのタイミングでログ出力されていることを確認</t>
        </is>
      </c>
      <c r="I41" s="15" t="inlineStr">
        <is>
          <t>route.tsのswitch文のログ絵文字と合わせて確認すると分かりやすい</t>
        </is>
      </c>
      <c r="J41" s="14" t="inlineStr">
        <is>
          <t>未実施</t>
        </is>
      </c>
      <c r="K41" s="14" t="n"/>
      <c r="L41" s="15" t="n"/>
      <c r="M41" s="15" t="inlineStr">
        <is>
          <t>ステージング</t>
        </is>
      </c>
    </row>
    <row r="42" ht="90" customHeight="1" s="21">
      <c r="A42" s="10" t="n">
        <v>41</v>
      </c>
      <c r="B42" s="16" t="inlineStr">
        <is>
          <t>WH-03</t>
        </is>
      </c>
      <c r="C42" s="16" t="inlineStr">
        <is>
          <t>WH: Webhook確認</t>
        </is>
      </c>
      <c r="D42" s="16" t="inlineStr">
        <is>
          <t>有料プラン契約済みユーザー</t>
        </is>
      </c>
      <c r="E42" s="16" t="inlineStr">
        <is>
          <t>mypageの「次回の支払い」または「解約予定日」の表示と、Stripeダッシュボード上のcurrent_period_endを見比べる</t>
        </is>
      </c>
      <c r="F42" s="16" t="inlineStr">
        <is>
          <t>日本時間（ja-JP, Asia/Tokyo基準）で日時が正しく変換され表示されている</t>
        </is>
      </c>
      <c r="G42" s="16" t="inlineStr">
        <is>
          <t>subscription.current_period_endの文字列がロケール変換で崩れていないか確認</t>
        </is>
      </c>
      <c r="H42" s="16" t="inlineStr">
        <is>
          <t>-</t>
        </is>
      </c>
      <c r="I42" s="16" t="inlineStr">
        <is>
          <t>toLocaleStringの変換ロジックの確認</t>
        </is>
      </c>
      <c r="J42" s="10" t="inlineStr">
        <is>
          <t>未実施</t>
        </is>
      </c>
      <c r="K42" s="10" t="n"/>
      <c r="L42" s="16" t="n"/>
      <c r="M42" s="16" t="inlineStr">
        <is>
          <t>ステージング</t>
        </is>
      </c>
    </row>
    <row r="43" ht="90" customHeight="1" s="21">
      <c r="A43" s="14" t="n">
        <v>42</v>
      </c>
      <c r="B43" s="15" t="inlineStr">
        <is>
          <t>WH-04</t>
        </is>
      </c>
      <c r="C43" s="15" t="inlineStr">
        <is>
          <t>WH: Webhook確認</t>
        </is>
      </c>
      <c r="D43" s="15" t="inlineStr">
        <is>
          <t>一連のテスト（SU/CH/CN/RE/DL）を一通り実施した後</t>
        </is>
      </c>
      <c r="E43" s="15" t="inlineStr">
        <is>
          <t>Supabaseのprofile/subscriptionテーブルとStripeダッシュボード（顧客・サブスクリプション一覧）を突き合わせる</t>
        </is>
      </c>
      <c r="F43" s="15" t="inlineStr">
        <is>
          <t>-</t>
        </is>
      </c>
      <c r="G43" s="15" t="inlineStr">
        <is>
          <t>孤児レコード（Stripe側は存在するがDBに無い、または逆）がないこと</t>
        </is>
      </c>
      <c r="H43" s="15" t="inlineStr">
        <is>
          <t>customer/subscriptionの件数・状態がDBと一致していること</t>
        </is>
      </c>
      <c r="I43" s="15" t="inlineStr">
        <is>
          <t>全体テストの最終チェックとして実施</t>
        </is>
      </c>
      <c r="J43" s="14" t="inlineStr">
        <is>
          <t>未実施</t>
        </is>
      </c>
      <c r="K43" s="14" t="n"/>
      <c r="L43" s="15" t="n"/>
      <c r="M43" s="15" t="inlineStr">
        <is>
          <t>ステージング</t>
        </is>
      </c>
    </row>
  </sheetData>
  <autoFilter ref="A1:M43"/>
  <conditionalFormatting sqref="J2:J43">
    <cfRule type="cellIs" priority="1" operator="equal" dxfId="0">
      <formula>"OK"</formula>
    </cfRule>
    <cfRule type="cellIs" priority="2" operator="equal" dxfId="1">
      <formula>"NG"</formula>
    </cfRule>
    <cfRule type="cellIs" priority="3" operator="equal" dxfId="2">
      <formula>"一部NG"</formula>
    </cfRule>
    <cfRule type="cellIs" priority="4" operator="equal" dxfId="3">
      <formula>"未実施"</formula>
    </cfRule>
  </conditionalFormatting>
  <dataValidations count="1">
    <dataValidation sqref="J2:J43" showDropDown="0" showInputMessage="0" showErrorMessage="0" allowBlank="1" type="list">
      <formula1>"未実施,OK,NG,一部NG,対象外"</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B20"/>
  <sheetViews>
    <sheetView showGridLines="0" workbookViewId="0">
      <selection activeCell="A1" sqref="A1"/>
    </sheetView>
  </sheetViews>
  <sheetFormatPr baseColWidth="8" defaultColWidth="14.43" defaultRowHeight="15" customHeight="1"/>
  <cols>
    <col width="2" customWidth="1" style="21" min="1" max="1"/>
    <col width="100" customWidth="1" style="21" min="2" max="2"/>
    <col width="8.710000000000001" customWidth="1" style="21" min="3" max="26"/>
  </cols>
  <sheetData>
    <row r="2">
      <c r="B2" s="1" t="inlineStr">
        <is>
          <t>テスト実施前の準備</t>
        </is>
      </c>
    </row>
    <row r="4">
      <c r="B4" s="6" t="inlineStr">
        <is>
          <t>① Stripeテストモードの確認</t>
        </is>
      </c>
    </row>
    <row r="5" ht="36" customHeight="1" s="21">
      <c r="B5" s="7" t="inlineStr">
        <is>
          <t>Stripeダッシュボード右上が「テスト環境」になっていること、アプリの環境変数のAPIキーが sk_test_ / pk_test_ から始まるテストモード用キーであることを確認する。本番キーで実施しないこと。</t>
        </is>
      </c>
    </row>
    <row r="7">
      <c r="B7" s="6" t="inlineStr">
        <is>
          <t>② Webhookのローカル転送</t>
        </is>
      </c>
    </row>
    <row r="8" ht="72" customHeight="1" s="21">
      <c r="B8" s="7" t="inlineStr">
        <is>
          <t>Stripe CLIをインストールし、`stripe login` 後に以下を実行してWebhookをローカルに転送する。
  stripe listen --forward-to localhost:3000/api/stripe/webhook
表示された whsec_... を環境変数 STRIPE_WEBHOOK_SECRET に設定してからサーバーを起動する。</t>
        </is>
      </c>
    </row>
    <row r="10">
      <c r="B10" s="6" t="inlineStr">
        <is>
          <t>③ 解約成立（期間終了）のテスト方法</t>
        </is>
      </c>
    </row>
    <row r="11" ht="90" customHeight="1" s="21">
      <c r="B11" s="7" t="inlineStr">
        <is>
          <t>実際の請求期間（1ヶ月等）を待たずに customer.subscription.deleted を発生させるには次のいずれかを使う。
  ・Stripeの Test Clocks 機能でテスト用の時計を進めて期間終了を再現する（本来の流れ）
  ・Stripeダッシュボードでテスト用サブスクリプションを直接「今すぐキャンセル」する（簡易確認）
  ※ `stripe trigger customer.subscription.deleted` はダミーのサブスクリプションを作って削除するだけで、DBのsubscription行（stripe_subscription_id）と紐付かないため、代替にはならない</t>
        </is>
      </c>
    </row>
    <row r="13">
      <c r="B13" s="6" t="inlineStr">
        <is>
          <t>④ テストデータのクリーンアップ</t>
        </is>
      </c>
    </row>
    <row r="14" ht="36" customHeight="1" s="21">
      <c r="B14" s="7" t="inlineStr">
        <is>
          <t>テストで作成したユーザー・Stripe顧客はテスト用であることが分かるようにし、テスト終了後は不要なテストユーザーをSupabase/Stripe双方から削除して環境を綺麗に保つ。</t>
        </is>
      </c>
    </row>
    <row r="16">
      <c r="B16" s="6" t="inlineStr">
        <is>
          <t>⑤ 確認に使うツール</t>
        </is>
      </c>
    </row>
    <row r="17" ht="72" customHeight="1" s="21">
      <c r="B17" s="7" t="inlineStr">
        <is>
          <t>・Stripeダッシュボード（テストモード）：顧客一覧・サブスクリプション詳細・イベントログ
・Supabaseダッシュボード：profile / subscription / plan テーブルの中身
・ブラウザのDevTools：Server Actionのレスポンス、コンソールログ、Networkタブ</t>
        </is>
      </c>
    </row>
    <row r="19">
      <c r="B19" s="6" t="inlineStr">
        <is>
          <t>⑥ ステージング環境での実施（シート「ステージング（2026-10）」）</t>
        </is>
      </c>
    </row>
    <row r="20" ht="90" customHeight="1" s="21">
      <c r="B20" s="7" t="inlineStr">
        <is>
          <t>・Webhook は Stripe サンドボックスのエンドポイントからステージングに直接届くため、stripe listen は不要（WH-01 で設定を確認）。
・Stripe のサンドボックスはローカルと共有しているため、テストユーザーは staging+01@... のようにステージング用と分かるメールアドレスにする。
・疑似障害（APIキーを無効化する等）の5件は、環境変数の変更に再デプロイが必要なためローカルで実施する。
・本番環境では、チェックリストとは別に少額での購入→解約の通し確認のみ行う（実際の決済が発生するため。確認後に返金）。</t>
        </is>
      </c>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B3" sqref="B3"/>
    </sheetView>
  </sheetViews>
  <sheetFormatPr baseColWidth="8" defaultColWidth="14.43" defaultRowHeight="15" customHeight="1"/>
  <cols>
    <col width="22" customWidth="1" style="21" min="1" max="1"/>
    <col width="28" customWidth="1" style="21" min="2" max="2"/>
    <col width="45" customWidth="1" style="21" min="3" max="3"/>
    <col width="8.710000000000001" customWidth="1" style="21" min="4" max="26"/>
  </cols>
  <sheetData>
    <row r="1">
      <c r="A1" s="3" t="inlineStr">
        <is>
          <t>カード番号</t>
        </is>
      </c>
      <c r="B1" s="3" t="inlineStr">
        <is>
          <t>用途</t>
        </is>
      </c>
      <c r="C1" s="3" t="inlineStr">
        <is>
          <t>備考</t>
        </is>
      </c>
    </row>
    <row r="2">
      <c r="A2" s="16" t="inlineStr">
        <is>
          <t>4242 4242 4242 4242</t>
        </is>
      </c>
      <c r="B2" s="16" t="inlineStr">
        <is>
          <t>通常決済成功</t>
        </is>
      </c>
      <c r="C2" s="16" t="inlineStr">
        <is>
          <t>認証不要で即成功する最も基本のテストカード</t>
        </is>
      </c>
    </row>
    <row r="3">
      <c r="A3" s="16" t="inlineStr">
        <is>
          <t>4000 0025 0000 3155</t>
        </is>
      </c>
      <c r="B3" s="16" t="inlineStr">
        <is>
          <t>3Dセキュア（要認証）</t>
        </is>
      </c>
      <c r="C3" s="16" t="inlineStr">
        <is>
          <t>認証ステップが挟まるフローの確認に使用</t>
        </is>
      </c>
    </row>
    <row r="4">
      <c r="A4" s="16" t="inlineStr">
        <is>
          <t>4000 0000 0000 9995</t>
        </is>
      </c>
      <c r="B4" s="16" t="inlineStr">
        <is>
          <t>残高不足で失敗</t>
        </is>
      </c>
      <c r="C4" s="16" t="inlineStr">
        <is>
          <t>insufficient_fundsエラーの確認</t>
        </is>
      </c>
    </row>
    <row r="5">
      <c r="A5" s="16" t="inlineStr">
        <is>
          <t>4000 0000 0000 0002</t>
        </is>
      </c>
      <c r="B5" s="16" t="inlineStr">
        <is>
          <t>カード拒否（generic decline）</t>
        </is>
      </c>
      <c r="C5" s="16" t="inlineStr">
        <is>
          <t>決済失敗時のエラー表示確認</t>
        </is>
      </c>
    </row>
    <row r="6">
      <c r="A6" s="16" t="inlineStr">
        <is>
          <t>4000 0000 0000 0069</t>
        </is>
      </c>
      <c r="B6" s="16" t="inlineStr">
        <is>
          <t>有効期限切れ</t>
        </is>
      </c>
      <c r="C6" s="16" t="inlineStr">
        <is>
          <t>expired_cardエラーの確認</t>
        </is>
      </c>
    </row>
    <row r="7">
      <c r="A7" s="16" t="inlineStr">
        <is>
          <t>4000 0000 0000 0127</t>
        </is>
      </c>
      <c r="B7" s="16" t="inlineStr">
        <is>
          <t>セキュリティコード不正</t>
        </is>
      </c>
      <c r="C7" s="16" t="inlineStr">
        <is>
          <t>incorrect_cvcエラーの確認</t>
        </is>
      </c>
    </row>
    <row r="8">
      <c r="A8" s="16" t="inlineStr">
        <is>
          <t>4000 0000 0000 0119</t>
        </is>
      </c>
      <c r="B8" s="16" t="inlineStr">
        <is>
          <t>処理エラー（processing_error）</t>
        </is>
      </c>
      <c r="C8" s="16" t="inlineStr">
        <is>
          <t>Stripe側の一時的なエラーの確認</t>
        </is>
      </c>
    </row>
    <row r="11">
      <c r="A11" s="8" t="inlineStr">
        <is>
          <t>※ 上記以外のカード番号一覧は Stripe公式ドキュメント（Testing）を参照。有効期限は未来の任意の日付、CVCは任意の3桁、郵便番号は任意の値でよい。</t>
        </is>
      </c>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1">
    <mergeCell ref="A11:C1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2026-09-12T04:45:12Z</dcterms:created>
  <dcterms:modified xsi:type="dcterms:W3CDTF">2026-10-27T15:37:46Z</dcterms:modified>
</cp:coreProperties>
</file>